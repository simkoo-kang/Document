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120" windowWidth="19980" windowHeight="14190" tabRatio="810" activeTab="1"/>
  </bookViews>
  <sheets>
    <sheet name="월" sheetId="32" r:id="rId1"/>
    <sheet name="관리비" sheetId="28" r:id="rId2"/>
    <sheet name="주유" sheetId="30" r:id="rId3"/>
    <sheet name="정비" sheetId="31" r:id="rId4"/>
    <sheet name="범칙금" sheetId="40" r:id="rId5"/>
    <sheet name="통장정보" sheetId="27" r:id="rId6"/>
    <sheet name="보안" sheetId="33" r:id="rId7"/>
  </sheets>
  <definedNames>
    <definedName name="_xlnm._FilterDatabase" localSheetId="1" hidden="1">관리비!$A$2:$M$64</definedName>
  </definedNames>
  <calcPr calcId="144525"/>
  <pivotCaches>
    <pivotCache cacheId="4" r:id="rId8"/>
  </pivotCaches>
</workbook>
</file>

<file path=xl/calcChain.xml><?xml version="1.0" encoding="utf-8"?>
<calcChain xmlns="http://schemas.openxmlformats.org/spreadsheetml/2006/main">
  <c r="F144" i="28" l="1"/>
  <c r="L88" i="28" l="1"/>
  <c r="L87" i="28"/>
  <c r="L86" i="28"/>
  <c r="L85" i="28"/>
  <c r="L84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6" i="28"/>
  <c r="L45" i="28"/>
  <c r="L44" i="28"/>
  <c r="L43" i="28"/>
  <c r="L42" i="28"/>
  <c r="L39" i="28"/>
  <c r="L36" i="28"/>
  <c r="L35" i="28"/>
  <c r="L34" i="28"/>
  <c r="L33" i="28"/>
  <c r="L32" i="28"/>
  <c r="L31" i="28"/>
  <c r="L30" i="28"/>
  <c r="L25" i="28"/>
  <c r="L26" i="28"/>
  <c r="L27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6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3" i="28"/>
  <c r="E124" i="28" l="1"/>
  <c r="G29" i="27" l="1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28" i="27"/>
  <c r="G122" i="28" l="1"/>
  <c r="H122" i="28"/>
  <c r="I122" i="28"/>
  <c r="J122" i="28"/>
  <c r="Q122" i="28"/>
  <c r="G123" i="28"/>
  <c r="H123" i="28"/>
  <c r="I123" i="28"/>
  <c r="J123" i="28"/>
  <c r="Q123" i="28"/>
  <c r="G124" i="28"/>
  <c r="H124" i="28"/>
  <c r="I124" i="28"/>
  <c r="J124" i="28"/>
  <c r="Q124" i="28"/>
  <c r="G125" i="28"/>
  <c r="H125" i="28"/>
  <c r="I125" i="28"/>
  <c r="J125" i="28"/>
  <c r="Q125" i="28"/>
  <c r="G126" i="28"/>
  <c r="H126" i="28"/>
  <c r="I126" i="28"/>
  <c r="J126" i="28"/>
  <c r="Q126" i="28"/>
  <c r="G127" i="28"/>
  <c r="H127" i="28"/>
  <c r="I127" i="28"/>
  <c r="J127" i="28"/>
  <c r="K127" i="28"/>
  <c r="L127" i="28"/>
  <c r="Q127" i="28"/>
  <c r="G128" i="28"/>
  <c r="H128" i="28"/>
  <c r="I128" i="28"/>
  <c r="J128" i="28"/>
  <c r="K128" i="28"/>
  <c r="L128" i="28"/>
  <c r="Q128" i="28"/>
  <c r="G129" i="28"/>
  <c r="H129" i="28"/>
  <c r="I129" i="28"/>
  <c r="J129" i="28"/>
  <c r="K129" i="28"/>
  <c r="L129" i="28"/>
  <c r="Q129" i="28"/>
  <c r="G130" i="28"/>
  <c r="H130" i="28"/>
  <c r="I130" i="28"/>
  <c r="J130" i="28"/>
  <c r="K130" i="28"/>
  <c r="L130" i="28"/>
  <c r="Q130" i="28"/>
  <c r="G131" i="28"/>
  <c r="H131" i="28"/>
  <c r="I131" i="28"/>
  <c r="J131" i="28"/>
  <c r="K131" i="28"/>
  <c r="L131" i="28"/>
  <c r="Q131" i="28"/>
  <c r="Q121" i="28"/>
  <c r="G87" i="31" l="1"/>
  <c r="I87" i="31" s="1"/>
  <c r="G88" i="31"/>
  <c r="I88" i="31" s="1"/>
  <c r="I3" i="33"/>
  <c r="H3" i="33"/>
  <c r="Q120" i="28" l="1"/>
  <c r="H22" i="27" l="1"/>
  <c r="K10" i="32" l="1"/>
  <c r="K11" i="32"/>
  <c r="Q119" i="28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54" i="30"/>
  <c r="L55" i="30"/>
  <c r="L56" i="30"/>
  <c r="L57" i="30"/>
  <c r="L58" i="30"/>
  <c r="L59" i="30"/>
  <c r="L60" i="30"/>
  <c r="L61" i="30"/>
  <c r="L62" i="30"/>
  <c r="L63" i="30"/>
  <c r="L64" i="30"/>
  <c r="L65" i="30"/>
  <c r="L66" i="30"/>
  <c r="L67" i="30"/>
  <c r="L68" i="30"/>
  <c r="L69" i="30"/>
  <c r="L70" i="30"/>
  <c r="L71" i="30"/>
  <c r="L72" i="30"/>
  <c r="L73" i="30"/>
  <c r="L74" i="30"/>
  <c r="L75" i="30"/>
  <c r="L76" i="30"/>
  <c r="L77" i="30"/>
  <c r="L78" i="30"/>
  <c r="L79" i="30"/>
  <c r="L80" i="30"/>
  <c r="L81" i="30"/>
  <c r="L82" i="30"/>
  <c r="L83" i="30"/>
  <c r="L84" i="30"/>
  <c r="L85" i="30"/>
  <c r="L86" i="30"/>
  <c r="L87" i="30"/>
  <c r="L88" i="30"/>
  <c r="L89" i="30"/>
  <c r="L90" i="30"/>
  <c r="L91" i="30"/>
  <c r="L92" i="30"/>
  <c r="L93" i="30"/>
  <c r="L94" i="30"/>
  <c r="L95" i="30"/>
  <c r="L96" i="30"/>
  <c r="L97" i="30"/>
  <c r="L98" i="30"/>
  <c r="L99" i="30"/>
  <c r="L100" i="30"/>
  <c r="L101" i="30"/>
  <c r="L102" i="30"/>
  <c r="L103" i="30"/>
  <c r="L104" i="30"/>
  <c r="L105" i="30"/>
  <c r="L106" i="30"/>
  <c r="L107" i="30"/>
  <c r="L108" i="30"/>
  <c r="L109" i="30"/>
  <c r="L110" i="30"/>
  <c r="L111" i="30"/>
  <c r="L112" i="30"/>
  <c r="L113" i="30"/>
  <c r="L114" i="30"/>
  <c r="L115" i="30"/>
  <c r="L116" i="30"/>
  <c r="L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9" i="30"/>
  <c r="I20" i="30"/>
  <c r="M20" i="30" s="1"/>
  <c r="I21" i="30"/>
  <c r="M21" i="30" s="1"/>
  <c r="I22" i="30"/>
  <c r="M22" i="30" s="1"/>
  <c r="I23" i="30"/>
  <c r="M23" i="30" s="1"/>
  <c r="I24" i="30"/>
  <c r="M24" i="30" s="1"/>
  <c r="I25" i="30"/>
  <c r="M25" i="30" s="1"/>
  <c r="I26" i="30"/>
  <c r="M26" i="30" s="1"/>
  <c r="I27" i="30"/>
  <c r="M27" i="30" s="1"/>
  <c r="I28" i="30"/>
  <c r="M28" i="30" s="1"/>
  <c r="I29" i="30"/>
  <c r="M29" i="30" s="1"/>
  <c r="I30" i="30"/>
  <c r="M30" i="30" s="1"/>
  <c r="I31" i="30"/>
  <c r="M31" i="30" s="1"/>
  <c r="I32" i="30"/>
  <c r="M32" i="30" s="1"/>
  <c r="I33" i="30"/>
  <c r="M33" i="30" s="1"/>
  <c r="I34" i="30"/>
  <c r="M34" i="30" s="1"/>
  <c r="I35" i="30"/>
  <c r="M35" i="30" s="1"/>
  <c r="I36" i="30"/>
  <c r="M36" i="30" s="1"/>
  <c r="I37" i="30"/>
  <c r="M37" i="30" s="1"/>
  <c r="I38" i="30"/>
  <c r="M38" i="30" s="1"/>
  <c r="I39" i="30"/>
  <c r="M39" i="30" s="1"/>
  <c r="I40" i="30"/>
  <c r="M40" i="30" s="1"/>
  <c r="I41" i="30"/>
  <c r="M41" i="30" s="1"/>
  <c r="I42" i="30"/>
  <c r="M42" i="30" s="1"/>
  <c r="I43" i="30"/>
  <c r="M43" i="30" s="1"/>
  <c r="I44" i="30"/>
  <c r="M44" i="30" s="1"/>
  <c r="I45" i="30"/>
  <c r="M45" i="30" s="1"/>
  <c r="I46" i="30"/>
  <c r="M46" i="30" s="1"/>
  <c r="I47" i="30"/>
  <c r="M47" i="30" s="1"/>
  <c r="I48" i="30"/>
  <c r="M48" i="30" s="1"/>
  <c r="I49" i="30"/>
  <c r="M49" i="30" s="1"/>
  <c r="I50" i="30"/>
  <c r="M50" i="30" s="1"/>
  <c r="I51" i="30"/>
  <c r="M51" i="30" s="1"/>
  <c r="I52" i="30"/>
  <c r="M52" i="30" s="1"/>
  <c r="I53" i="30"/>
  <c r="M53" i="30" s="1"/>
  <c r="I54" i="30"/>
  <c r="M54" i="30" s="1"/>
  <c r="I55" i="30"/>
  <c r="M55" i="30" s="1"/>
  <c r="I56" i="30"/>
  <c r="M56" i="30" s="1"/>
  <c r="I57" i="30"/>
  <c r="M57" i="30" s="1"/>
  <c r="I58" i="30"/>
  <c r="M58" i="30" s="1"/>
  <c r="I59" i="30"/>
  <c r="M59" i="30" s="1"/>
  <c r="I60" i="30"/>
  <c r="M60" i="30" s="1"/>
  <c r="I61" i="30"/>
  <c r="M61" i="30" s="1"/>
  <c r="I62" i="30"/>
  <c r="M62" i="30" s="1"/>
  <c r="I63" i="30"/>
  <c r="M63" i="30" s="1"/>
  <c r="I64" i="30"/>
  <c r="M64" i="30" s="1"/>
  <c r="I65" i="30"/>
  <c r="M65" i="30" s="1"/>
  <c r="I66" i="30"/>
  <c r="M66" i="30" s="1"/>
  <c r="I67" i="30"/>
  <c r="M67" i="30" s="1"/>
  <c r="I68" i="30"/>
  <c r="M68" i="30" s="1"/>
  <c r="I69" i="30"/>
  <c r="M69" i="30" s="1"/>
  <c r="I70" i="30"/>
  <c r="M70" i="30" s="1"/>
  <c r="I71" i="30"/>
  <c r="M71" i="30" s="1"/>
  <c r="I72" i="30"/>
  <c r="M72" i="30" s="1"/>
  <c r="I73" i="30"/>
  <c r="M73" i="30" s="1"/>
  <c r="I74" i="30"/>
  <c r="M74" i="30" s="1"/>
  <c r="I75" i="30"/>
  <c r="M75" i="30" s="1"/>
  <c r="I76" i="30"/>
  <c r="M76" i="30" s="1"/>
  <c r="I77" i="30"/>
  <c r="M77" i="30" s="1"/>
  <c r="I78" i="30"/>
  <c r="M78" i="30" s="1"/>
  <c r="I79" i="30"/>
  <c r="M79" i="30" s="1"/>
  <c r="I80" i="30"/>
  <c r="M80" i="30" s="1"/>
  <c r="I81" i="30"/>
  <c r="M81" i="30" s="1"/>
  <c r="I82" i="30"/>
  <c r="M82" i="30" s="1"/>
  <c r="I83" i="30"/>
  <c r="M83" i="30" s="1"/>
  <c r="I84" i="30"/>
  <c r="M84" i="30" s="1"/>
  <c r="I85" i="30"/>
  <c r="M85" i="30" s="1"/>
  <c r="I86" i="30"/>
  <c r="M86" i="30" s="1"/>
  <c r="I87" i="30"/>
  <c r="M87" i="30" s="1"/>
  <c r="I88" i="30"/>
  <c r="M88" i="30" s="1"/>
  <c r="I89" i="30"/>
  <c r="M89" i="30" s="1"/>
  <c r="I90" i="30"/>
  <c r="M90" i="30" s="1"/>
  <c r="I91" i="30"/>
  <c r="M91" i="30" s="1"/>
  <c r="I92" i="30"/>
  <c r="I93" i="30"/>
  <c r="I94" i="30"/>
  <c r="M94" i="30" s="1"/>
  <c r="I95" i="30"/>
  <c r="I96" i="30"/>
  <c r="I97" i="30"/>
  <c r="M97" i="30" s="1"/>
  <c r="I98" i="30"/>
  <c r="M98" i="30" s="1"/>
  <c r="I99" i="30"/>
  <c r="M99" i="30" s="1"/>
  <c r="I100" i="30"/>
  <c r="M100" i="30" s="1"/>
  <c r="I101" i="30"/>
  <c r="M101" i="30" s="1"/>
  <c r="I102" i="30"/>
  <c r="M102" i="30" s="1"/>
  <c r="I103" i="30"/>
  <c r="M103" i="30" s="1"/>
  <c r="I104" i="30"/>
  <c r="M104" i="30" s="1"/>
  <c r="I105" i="30"/>
  <c r="M105" i="30" s="1"/>
  <c r="I106" i="30"/>
  <c r="M106" i="30" s="1"/>
  <c r="I107" i="30"/>
  <c r="M107" i="30" s="1"/>
  <c r="I108" i="30"/>
  <c r="M108" i="30" s="1"/>
  <c r="I109" i="30"/>
  <c r="M109" i="30" s="1"/>
  <c r="I110" i="30"/>
  <c r="M110" i="30" s="1"/>
  <c r="I111" i="30"/>
  <c r="M111" i="30" s="1"/>
  <c r="I112" i="30"/>
  <c r="M112" i="30" s="1"/>
  <c r="I113" i="30"/>
  <c r="M113" i="30" s="1"/>
  <c r="I114" i="30"/>
  <c r="M114" i="30" s="1"/>
  <c r="I115" i="30"/>
  <c r="M115" i="30" s="1"/>
  <c r="I116" i="30"/>
  <c r="M116" i="30" s="1"/>
  <c r="I19" i="30"/>
  <c r="M19" i="30" s="1"/>
  <c r="M96" i="30" l="1"/>
  <c r="M95" i="30"/>
  <c r="M93" i="30"/>
  <c r="M92" i="30"/>
  <c r="K114" i="30"/>
  <c r="K106" i="30"/>
  <c r="K98" i="30"/>
  <c r="K90" i="30"/>
  <c r="K82" i="30"/>
  <c r="K74" i="30"/>
  <c r="K66" i="30"/>
  <c r="K58" i="30"/>
  <c r="K46" i="30"/>
  <c r="K19" i="30"/>
  <c r="K113" i="30"/>
  <c r="K109" i="30"/>
  <c r="K105" i="30"/>
  <c r="K101" i="30"/>
  <c r="K97" i="30"/>
  <c r="K93" i="30"/>
  <c r="K89" i="30"/>
  <c r="K85" i="30"/>
  <c r="K81" i="30"/>
  <c r="K77" i="30"/>
  <c r="K73" i="30"/>
  <c r="K69" i="30"/>
  <c r="K65" i="30"/>
  <c r="K61" i="30"/>
  <c r="K57" i="30"/>
  <c r="K53" i="30"/>
  <c r="K49" i="30"/>
  <c r="K45" i="30"/>
  <c r="K41" i="30"/>
  <c r="K37" i="30"/>
  <c r="K33" i="30"/>
  <c r="K29" i="30"/>
  <c r="K25" i="30"/>
  <c r="K21" i="30"/>
  <c r="K112" i="30"/>
  <c r="K104" i="30"/>
  <c r="K100" i="30"/>
  <c r="K92" i="30"/>
  <c r="K84" i="30"/>
  <c r="K76" i="30"/>
  <c r="K68" i="30"/>
  <c r="K60" i="30"/>
  <c r="K56" i="30"/>
  <c r="K48" i="30"/>
  <c r="K44" i="30"/>
  <c r="K40" i="30"/>
  <c r="K36" i="30"/>
  <c r="K32" i="30"/>
  <c r="K28" i="30"/>
  <c r="K24" i="30"/>
  <c r="K20" i="30"/>
  <c r="K116" i="30"/>
  <c r="K108" i="30"/>
  <c r="K96" i="30"/>
  <c r="K88" i="30"/>
  <c r="K80" i="30"/>
  <c r="K72" i="30"/>
  <c r="K64" i="30"/>
  <c r="K52" i="30"/>
  <c r="K115" i="30"/>
  <c r="K111" i="30"/>
  <c r="K107" i="30"/>
  <c r="K103" i="30"/>
  <c r="K99" i="30"/>
  <c r="K95" i="30"/>
  <c r="K91" i="30"/>
  <c r="K87" i="30"/>
  <c r="K83" i="30"/>
  <c r="K79" i="30"/>
  <c r="K75" i="30"/>
  <c r="K71" i="30"/>
  <c r="K67" i="30"/>
  <c r="K63" i="30"/>
  <c r="K59" i="30"/>
  <c r="K55" i="30"/>
  <c r="K51" i="30"/>
  <c r="K47" i="30"/>
  <c r="K43" i="30"/>
  <c r="K39" i="30"/>
  <c r="K35" i="30"/>
  <c r="K31" i="30"/>
  <c r="K27" i="30"/>
  <c r="K23" i="30"/>
  <c r="K110" i="30"/>
  <c r="K102" i="30"/>
  <c r="K94" i="30"/>
  <c r="K86" i="30"/>
  <c r="K78" i="30"/>
  <c r="K70" i="30"/>
  <c r="K62" i="30"/>
  <c r="K54" i="30"/>
  <c r="K50" i="30"/>
  <c r="K42" i="30"/>
  <c r="K38" i="30"/>
  <c r="K34" i="30"/>
  <c r="K30" i="30"/>
  <c r="K26" i="30"/>
  <c r="K22" i="30"/>
  <c r="Q118" i="28"/>
  <c r="Q117" i="28" l="1"/>
  <c r="Q116" i="28" l="1"/>
  <c r="G114" i="28"/>
  <c r="H114" i="28"/>
  <c r="I114" i="28"/>
  <c r="J114" i="28"/>
  <c r="G115" i="28"/>
  <c r="H115" i="28"/>
  <c r="I115" i="28"/>
  <c r="J115" i="28"/>
  <c r="G116" i="28"/>
  <c r="H116" i="28"/>
  <c r="I116" i="28"/>
  <c r="J116" i="28"/>
  <c r="G117" i="28"/>
  <c r="H117" i="28"/>
  <c r="I117" i="28"/>
  <c r="J117" i="28"/>
  <c r="G118" i="28"/>
  <c r="H118" i="28"/>
  <c r="I118" i="28"/>
  <c r="J118" i="28"/>
  <c r="G119" i="28"/>
  <c r="H119" i="28"/>
  <c r="I119" i="28"/>
  <c r="J119" i="28"/>
  <c r="G120" i="28"/>
  <c r="H120" i="28"/>
  <c r="I120" i="28"/>
  <c r="J120" i="28"/>
  <c r="G121" i="28"/>
  <c r="H121" i="28"/>
  <c r="I121" i="28"/>
  <c r="J121" i="28"/>
  <c r="G143" i="28"/>
  <c r="H143" i="28"/>
  <c r="I143" i="28"/>
  <c r="J143" i="28"/>
  <c r="K143" i="28"/>
  <c r="L143" i="28"/>
  <c r="Q115" i="28"/>
  <c r="Q143" i="28" l="1"/>
  <c r="Q113" i="28" l="1"/>
  <c r="Q112" i="28" l="1"/>
  <c r="Q111" i="28" l="1"/>
  <c r="Q110" i="28" l="1"/>
  <c r="Q105" i="28" l="1"/>
  <c r="Q106" i="28"/>
  <c r="Q107" i="28"/>
  <c r="Q108" i="28"/>
  <c r="Q109" i="28"/>
  <c r="K90" i="31" l="1"/>
  <c r="J85" i="31"/>
  <c r="J83" i="31"/>
  <c r="L75" i="31"/>
  <c r="L85" i="31"/>
  <c r="G109" i="28" l="1"/>
  <c r="H109" i="28"/>
  <c r="I109" i="28"/>
  <c r="J109" i="28"/>
  <c r="G110" i="28"/>
  <c r="H110" i="28"/>
  <c r="I110" i="28"/>
  <c r="J110" i="28"/>
  <c r="G111" i="28"/>
  <c r="H111" i="28"/>
  <c r="I111" i="28"/>
  <c r="J111" i="28"/>
  <c r="G112" i="28"/>
  <c r="H112" i="28"/>
  <c r="I112" i="28"/>
  <c r="J112" i="28"/>
  <c r="G113" i="28"/>
  <c r="H113" i="28"/>
  <c r="I113" i="28"/>
  <c r="J113" i="28"/>
  <c r="J108" i="28" l="1"/>
  <c r="I108" i="28"/>
  <c r="H108" i="28"/>
  <c r="G108" i="28"/>
  <c r="J107" i="28"/>
  <c r="I107" i="28"/>
  <c r="H107" i="28"/>
  <c r="G107" i="28"/>
  <c r="G105" i="28" l="1"/>
  <c r="H105" i="28"/>
  <c r="I105" i="28"/>
  <c r="J105" i="28"/>
  <c r="G102" i="28"/>
  <c r="H102" i="28"/>
  <c r="I102" i="28"/>
  <c r="J102" i="28"/>
  <c r="G103" i="28"/>
  <c r="H103" i="28"/>
  <c r="I103" i="28"/>
  <c r="J103" i="28"/>
  <c r="G104" i="28"/>
  <c r="H104" i="28"/>
  <c r="I104" i="28"/>
  <c r="J104" i="28"/>
  <c r="G100" i="28" l="1"/>
  <c r="H100" i="28"/>
  <c r="I100" i="28"/>
  <c r="J100" i="28"/>
  <c r="G99" i="28"/>
  <c r="H99" i="28"/>
  <c r="I99" i="28"/>
  <c r="J99" i="28"/>
  <c r="J82" i="31" l="1"/>
  <c r="J98" i="28"/>
  <c r="I98" i="28"/>
  <c r="H98" i="28"/>
  <c r="G98" i="28"/>
  <c r="J96" i="28" l="1"/>
  <c r="I96" i="28"/>
  <c r="H96" i="28"/>
  <c r="G96" i="28"/>
  <c r="G95" i="28" l="1"/>
  <c r="H95" i="28"/>
  <c r="I95" i="28"/>
  <c r="J95" i="28"/>
  <c r="G94" i="28" l="1"/>
  <c r="H94" i="28"/>
  <c r="I94" i="28"/>
  <c r="J94" i="28"/>
  <c r="G92" i="28" l="1"/>
  <c r="H92" i="28"/>
  <c r="I92" i="28"/>
  <c r="J92" i="28"/>
  <c r="J91" i="28" l="1"/>
  <c r="I91" i="28"/>
  <c r="H91" i="28"/>
  <c r="G91" i="28"/>
  <c r="D10" i="30" l="1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G93" i="28" l="1"/>
  <c r="H93" i="28"/>
  <c r="I93" i="28"/>
  <c r="J93" i="28"/>
  <c r="H90" i="28" l="1"/>
  <c r="I90" i="28"/>
  <c r="J90" i="28"/>
  <c r="G90" i="28"/>
  <c r="K88" i="28" l="1"/>
  <c r="J88" i="28"/>
  <c r="I88" i="28"/>
  <c r="H88" i="28"/>
  <c r="G88" i="28"/>
  <c r="I5" i="32" l="1"/>
  <c r="G87" i="28" l="1"/>
  <c r="H87" i="28"/>
  <c r="I87" i="28"/>
  <c r="J87" i="28"/>
  <c r="K87" i="28"/>
  <c r="G84" i="28"/>
  <c r="H84" i="28"/>
  <c r="I84" i="28"/>
  <c r="J84" i="28"/>
  <c r="K84" i="28"/>
  <c r="G85" i="28"/>
  <c r="H85" i="28"/>
  <c r="I85" i="28"/>
  <c r="J85" i="28"/>
  <c r="K85" i="28"/>
  <c r="G81" i="28"/>
  <c r="H81" i="28"/>
  <c r="I81" i="28"/>
  <c r="J81" i="28"/>
  <c r="K81" i="28"/>
  <c r="G82" i="28"/>
  <c r="H82" i="28"/>
  <c r="I82" i="28"/>
  <c r="J82" i="28"/>
  <c r="K82" i="28"/>
  <c r="G86" i="28"/>
  <c r="H86" i="28"/>
  <c r="I86" i="28"/>
  <c r="J86" i="28"/>
  <c r="K86" i="28"/>
  <c r="I8" i="32" l="1"/>
  <c r="J8" i="32" s="1"/>
  <c r="U69" i="32" l="1"/>
  <c r="U70" i="32"/>
  <c r="U71" i="32"/>
  <c r="U72" i="32"/>
  <c r="U73" i="32"/>
  <c r="U74" i="32"/>
  <c r="U75" i="32"/>
  <c r="U76" i="32"/>
  <c r="U68" i="32"/>
  <c r="G71" i="28" l="1"/>
  <c r="H71" i="28"/>
  <c r="I71" i="28"/>
  <c r="J71" i="28"/>
  <c r="K71" i="28"/>
  <c r="G72" i="28"/>
  <c r="H72" i="28"/>
  <c r="I72" i="28"/>
  <c r="J72" i="28"/>
  <c r="K72" i="28"/>
  <c r="G73" i="28"/>
  <c r="H73" i="28"/>
  <c r="I73" i="28"/>
  <c r="J73" i="28"/>
  <c r="K73" i="28"/>
  <c r="G74" i="28"/>
  <c r="H74" i="28"/>
  <c r="I74" i="28"/>
  <c r="J74" i="28"/>
  <c r="K74" i="28"/>
  <c r="G75" i="28"/>
  <c r="H75" i="28"/>
  <c r="I75" i="28"/>
  <c r="J75" i="28"/>
  <c r="K75" i="28"/>
  <c r="G76" i="28"/>
  <c r="H76" i="28"/>
  <c r="I76" i="28"/>
  <c r="J76" i="28"/>
  <c r="K76" i="28"/>
  <c r="G77" i="28"/>
  <c r="H77" i="28"/>
  <c r="I77" i="28"/>
  <c r="J77" i="28"/>
  <c r="K77" i="28"/>
  <c r="G78" i="28"/>
  <c r="H78" i="28"/>
  <c r="I78" i="28"/>
  <c r="J78" i="28"/>
  <c r="K78" i="28"/>
  <c r="G79" i="28"/>
  <c r="H79" i="28"/>
  <c r="I79" i="28"/>
  <c r="J79" i="28"/>
  <c r="K79" i="28"/>
  <c r="G80" i="28"/>
  <c r="H80" i="28"/>
  <c r="I80" i="28"/>
  <c r="J80" i="28"/>
  <c r="K80" i="28"/>
  <c r="I5" i="40"/>
  <c r="I7" i="32" l="1"/>
  <c r="J7" i="32" s="1"/>
  <c r="F13" i="27" l="1"/>
  <c r="E13" i="27"/>
  <c r="H13" i="27" s="1"/>
  <c r="G65" i="28" l="1"/>
  <c r="H65" i="28"/>
  <c r="I65" i="28"/>
  <c r="J65" i="28"/>
  <c r="K65" i="28"/>
  <c r="G66" i="28"/>
  <c r="H66" i="28"/>
  <c r="I66" i="28"/>
  <c r="J66" i="28"/>
  <c r="K66" i="28"/>
  <c r="G67" i="28"/>
  <c r="H67" i="28"/>
  <c r="I67" i="28"/>
  <c r="J67" i="28"/>
  <c r="K67" i="28"/>
  <c r="G68" i="28"/>
  <c r="H68" i="28"/>
  <c r="I68" i="28"/>
  <c r="J68" i="28"/>
  <c r="K68" i="28"/>
  <c r="G69" i="28"/>
  <c r="H69" i="28"/>
  <c r="I69" i="28"/>
  <c r="J69" i="28"/>
  <c r="K69" i="28"/>
  <c r="G70" i="28"/>
  <c r="H70" i="28"/>
  <c r="I70" i="28"/>
  <c r="J70" i="28"/>
  <c r="K70" i="28"/>
  <c r="G77" i="31" l="1"/>
  <c r="I77" i="31" s="1"/>
  <c r="G76" i="31"/>
  <c r="I76" i="31" s="1"/>
  <c r="G75" i="31"/>
  <c r="I75" i="31" s="1"/>
  <c r="G74" i="31"/>
  <c r="I74" i="31" s="1"/>
  <c r="G78" i="31" l="1"/>
  <c r="I78" i="31" s="1"/>
  <c r="G80" i="31"/>
  <c r="I80" i="31" s="1"/>
  <c r="G81" i="31"/>
  <c r="I81" i="31" s="1"/>
  <c r="G83" i="31"/>
  <c r="I83" i="31" s="1"/>
  <c r="G84" i="31"/>
  <c r="I84" i="31" s="1"/>
  <c r="G85" i="31"/>
  <c r="I85" i="31" s="1"/>
  <c r="G56" i="28" l="1"/>
  <c r="H56" i="28"/>
  <c r="I56" i="28"/>
  <c r="J56" i="28"/>
  <c r="K56" i="28"/>
  <c r="G57" i="28"/>
  <c r="H57" i="28"/>
  <c r="I57" i="28"/>
  <c r="J57" i="28"/>
  <c r="K57" i="28"/>
  <c r="G58" i="28"/>
  <c r="H58" i="28"/>
  <c r="I58" i="28"/>
  <c r="J58" i="28"/>
  <c r="K58" i="28"/>
  <c r="G59" i="28"/>
  <c r="H59" i="28"/>
  <c r="I59" i="28"/>
  <c r="J59" i="28"/>
  <c r="K59" i="28"/>
  <c r="G60" i="28"/>
  <c r="H60" i="28"/>
  <c r="I60" i="28"/>
  <c r="J60" i="28"/>
  <c r="K60" i="28"/>
  <c r="G61" i="28"/>
  <c r="H61" i="28"/>
  <c r="I61" i="28"/>
  <c r="J61" i="28"/>
  <c r="K61" i="28"/>
  <c r="G62" i="28"/>
  <c r="H62" i="28"/>
  <c r="I62" i="28"/>
  <c r="J62" i="28"/>
  <c r="K62" i="28"/>
  <c r="G63" i="28"/>
  <c r="H63" i="28"/>
  <c r="I63" i="28"/>
  <c r="J63" i="28"/>
  <c r="K63" i="28"/>
  <c r="G64" i="28"/>
  <c r="H64" i="28"/>
  <c r="I64" i="28"/>
  <c r="J64" i="28"/>
  <c r="K64" i="28"/>
  <c r="K55" i="28" l="1"/>
  <c r="J55" i="28"/>
  <c r="I55" i="28"/>
  <c r="H55" i="28"/>
  <c r="G55" i="28"/>
  <c r="K54" i="28"/>
  <c r="J54" i="28"/>
  <c r="I54" i="28"/>
  <c r="H54" i="28"/>
  <c r="G54" i="28"/>
  <c r="K53" i="28"/>
  <c r="J53" i="28"/>
  <c r="I53" i="28"/>
  <c r="H53" i="28"/>
  <c r="G53" i="28"/>
  <c r="K52" i="28"/>
  <c r="J52" i="28"/>
  <c r="I52" i="28"/>
  <c r="H52" i="28"/>
  <c r="G52" i="28"/>
  <c r="K51" i="28"/>
  <c r="J51" i="28"/>
  <c r="I51" i="28"/>
  <c r="H51" i="28"/>
  <c r="G51" i="28"/>
  <c r="K50" i="28"/>
  <c r="J50" i="28"/>
  <c r="I50" i="28"/>
  <c r="H50" i="28"/>
  <c r="G50" i="28"/>
  <c r="K49" i="28"/>
  <c r="J49" i="28"/>
  <c r="I49" i="28"/>
  <c r="H49" i="28"/>
  <c r="G49" i="28"/>
  <c r="K48" i="28"/>
  <c r="J48" i="28"/>
  <c r="I48" i="28"/>
  <c r="H48" i="28"/>
  <c r="G48" i="28"/>
  <c r="K47" i="28"/>
  <c r="J47" i="28"/>
  <c r="I47" i="28"/>
  <c r="H47" i="28"/>
  <c r="G47" i="28"/>
  <c r="S77" i="32" l="1"/>
  <c r="J15" i="32" l="1"/>
  <c r="G71" i="31" l="1"/>
  <c r="I71" i="31" s="1"/>
  <c r="G86" i="31"/>
  <c r="I86" i="31" s="1"/>
  <c r="G73" i="31"/>
  <c r="I73" i="31" s="1"/>
  <c r="J79" i="31" s="1"/>
  <c r="G70" i="31"/>
  <c r="I70" i="31" s="1"/>
  <c r="G69" i="31"/>
  <c r="I69" i="31" s="1"/>
  <c r="G68" i="31"/>
  <c r="I68" i="31" s="1"/>
  <c r="G67" i="31"/>
  <c r="I67" i="31" s="1"/>
  <c r="A4" i="28" l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G42" i="28"/>
  <c r="H42" i="28"/>
  <c r="I42" i="28"/>
  <c r="J42" i="28"/>
  <c r="K42" i="28"/>
  <c r="G43" i="28"/>
  <c r="H43" i="28"/>
  <c r="I43" i="28"/>
  <c r="J43" i="28"/>
  <c r="K43" i="28"/>
  <c r="G44" i="28"/>
  <c r="H44" i="28"/>
  <c r="I44" i="28"/>
  <c r="J44" i="28"/>
  <c r="K44" i="28"/>
  <c r="G45" i="28"/>
  <c r="H45" i="28"/>
  <c r="I45" i="28"/>
  <c r="J45" i="28"/>
  <c r="K45" i="28"/>
  <c r="G46" i="28"/>
  <c r="H46" i="28"/>
  <c r="I46" i="28"/>
  <c r="J46" i="28"/>
  <c r="K46" i="28"/>
  <c r="A2" i="28" l="1"/>
  <c r="I11" i="32"/>
  <c r="I10" i="32"/>
  <c r="I6" i="32"/>
  <c r="I4" i="32"/>
  <c r="K28" i="28" l="1"/>
  <c r="G30" i="28"/>
  <c r="H30" i="28"/>
  <c r="I30" i="28"/>
  <c r="J30" i="28"/>
  <c r="K30" i="28"/>
  <c r="G31" i="28"/>
  <c r="H31" i="28"/>
  <c r="I31" i="28"/>
  <c r="J31" i="28"/>
  <c r="K31" i="28"/>
  <c r="G32" i="28"/>
  <c r="H32" i="28"/>
  <c r="I32" i="28"/>
  <c r="J32" i="28"/>
  <c r="K32" i="28"/>
  <c r="G33" i="28"/>
  <c r="H33" i="28"/>
  <c r="I33" i="28"/>
  <c r="J33" i="28"/>
  <c r="K33" i="28"/>
  <c r="G34" i="28"/>
  <c r="H34" i="28"/>
  <c r="I34" i="28"/>
  <c r="J34" i="28"/>
  <c r="K34" i="28"/>
  <c r="G35" i="28"/>
  <c r="H35" i="28"/>
  <c r="I35" i="28"/>
  <c r="J35" i="28"/>
  <c r="K35" i="28"/>
  <c r="G36" i="28"/>
  <c r="H36" i="28"/>
  <c r="I36" i="28"/>
  <c r="J36" i="28"/>
  <c r="K36" i="28"/>
  <c r="G38" i="28"/>
  <c r="H38" i="28"/>
  <c r="I38" i="28"/>
  <c r="J38" i="28"/>
  <c r="K38" i="28"/>
  <c r="G39" i="28"/>
  <c r="H39" i="28"/>
  <c r="I39" i="28"/>
  <c r="J39" i="28"/>
  <c r="K39" i="28"/>
  <c r="K27" i="28" l="1"/>
  <c r="J27" i="28"/>
  <c r="I27" i="28"/>
  <c r="H27" i="28"/>
  <c r="G27" i="28"/>
  <c r="K26" i="28"/>
  <c r="J26" i="28"/>
  <c r="I26" i="28"/>
  <c r="H26" i="28"/>
  <c r="G26" i="28"/>
  <c r="J39" i="31" l="1"/>
  <c r="J41" i="31"/>
  <c r="G23" i="31"/>
  <c r="I23" i="31" s="1"/>
  <c r="G60" i="31"/>
  <c r="I60" i="31" s="1"/>
  <c r="G59" i="31"/>
  <c r="I59" i="31" s="1"/>
  <c r="G58" i="31"/>
  <c r="I58" i="31" s="1"/>
  <c r="G66" i="31"/>
  <c r="I66" i="31" s="1"/>
  <c r="J72" i="31" s="1"/>
  <c r="G57" i="31"/>
  <c r="I57" i="31" s="1"/>
  <c r="G56" i="31"/>
  <c r="I56" i="31" s="1"/>
  <c r="G17" i="28" l="1"/>
  <c r="H17" i="28"/>
  <c r="I17" i="28"/>
  <c r="J17" i="28"/>
  <c r="K17" i="28"/>
  <c r="G18" i="28"/>
  <c r="H18" i="28"/>
  <c r="I18" i="28"/>
  <c r="J18" i="28"/>
  <c r="K18" i="28"/>
  <c r="G19" i="28"/>
  <c r="H19" i="28"/>
  <c r="I19" i="28"/>
  <c r="J19" i="28"/>
  <c r="K19" i="28"/>
  <c r="G20" i="28"/>
  <c r="H20" i="28"/>
  <c r="I20" i="28"/>
  <c r="J20" i="28"/>
  <c r="K20" i="28"/>
  <c r="G21" i="28"/>
  <c r="H21" i="28"/>
  <c r="I21" i="28"/>
  <c r="J21" i="28"/>
  <c r="K21" i="28"/>
  <c r="G22" i="28"/>
  <c r="H22" i="28"/>
  <c r="I22" i="28"/>
  <c r="J22" i="28"/>
  <c r="K22" i="28"/>
  <c r="G23" i="28"/>
  <c r="H23" i="28"/>
  <c r="I23" i="28"/>
  <c r="J23" i="28"/>
  <c r="K23" i="28"/>
  <c r="G24" i="28"/>
  <c r="H24" i="28"/>
  <c r="I24" i="28"/>
  <c r="J24" i="28"/>
  <c r="K24" i="28"/>
  <c r="G20" i="32" l="1"/>
  <c r="K16" i="28" l="1"/>
  <c r="J16" i="28"/>
  <c r="I16" i="28"/>
  <c r="H16" i="28"/>
  <c r="G16" i="28"/>
  <c r="K15" i="28"/>
  <c r="J15" i="28"/>
  <c r="I15" i="28"/>
  <c r="H15" i="28"/>
  <c r="G15" i="28"/>
  <c r="K14" i="28"/>
  <c r="J14" i="28"/>
  <c r="I14" i="28"/>
  <c r="H14" i="28"/>
  <c r="G14" i="28"/>
  <c r="K13" i="28"/>
  <c r="J13" i="28"/>
  <c r="I13" i="28"/>
  <c r="H13" i="28"/>
  <c r="G13" i="28"/>
  <c r="K12" i="28"/>
  <c r="J12" i="28"/>
  <c r="I12" i="28"/>
  <c r="H12" i="28"/>
  <c r="G12" i="28"/>
  <c r="K11" i="28"/>
  <c r="J11" i="28"/>
  <c r="I11" i="28"/>
  <c r="H11" i="28"/>
  <c r="G11" i="28"/>
  <c r="K10" i="28"/>
  <c r="J10" i="28"/>
  <c r="I10" i="28"/>
  <c r="H10" i="28"/>
  <c r="G10" i="28"/>
  <c r="K9" i="28"/>
  <c r="J9" i="28"/>
  <c r="I9" i="28"/>
  <c r="H9" i="28"/>
  <c r="G9" i="28"/>
  <c r="G8" i="28" l="1"/>
  <c r="K8" i="28"/>
  <c r="J8" i="28"/>
  <c r="I8" i="28"/>
  <c r="H8" i="28"/>
  <c r="K7" i="28" l="1"/>
  <c r="J7" i="28"/>
  <c r="I7" i="28"/>
  <c r="H7" i="28"/>
  <c r="G7" i="28"/>
  <c r="K6" i="28" l="1"/>
  <c r="J6" i="28"/>
  <c r="I6" i="28"/>
  <c r="H6" i="28"/>
  <c r="G6" i="28"/>
  <c r="O3" i="33" l="1"/>
  <c r="N3" i="33"/>
  <c r="R3" i="33"/>
  <c r="Q3" i="33"/>
  <c r="L3" i="33"/>
  <c r="K3" i="33"/>
  <c r="F3" i="33"/>
  <c r="E3" i="33"/>
  <c r="C3" i="33" l="1"/>
  <c r="B3" i="33"/>
  <c r="H36" i="30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9" i="30" s="1"/>
  <c r="H50" i="30" s="1"/>
  <c r="H51" i="30" s="1"/>
  <c r="H52" i="30" s="1"/>
  <c r="H53" i="30" s="1"/>
  <c r="H54" i="30" s="1"/>
  <c r="H55" i="30" s="1"/>
  <c r="H56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9" i="30" s="1"/>
  <c r="H80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G16" i="32" l="1"/>
  <c r="O4" i="32" s="1"/>
  <c r="G17" i="32"/>
  <c r="P4" i="32" s="1"/>
  <c r="G18" i="32"/>
  <c r="Q4" i="32" s="1"/>
  <c r="G19" i="32"/>
  <c r="R4" i="32" s="1"/>
  <c r="G21" i="32"/>
  <c r="G15" i="32"/>
  <c r="N4" i="32" s="1"/>
  <c r="G12" i="32"/>
  <c r="D2" i="32"/>
  <c r="B2" i="32" l="1"/>
  <c r="C16" i="32" s="1"/>
  <c r="H9" i="32" s="1"/>
  <c r="R77" i="32"/>
  <c r="Q77" i="32"/>
  <c r="P77" i="32"/>
  <c r="O77" i="32"/>
  <c r="T77" i="32"/>
  <c r="N77" i="32"/>
  <c r="M4" i="32"/>
  <c r="T4" i="32"/>
  <c r="J5" i="32"/>
  <c r="J6" i="32"/>
  <c r="J10" i="32"/>
  <c r="J11" i="32"/>
  <c r="G23" i="32"/>
  <c r="J16" i="32" l="1"/>
  <c r="I9" i="32"/>
  <c r="I12" i="32" s="1"/>
  <c r="C19" i="32"/>
  <c r="K9" i="32"/>
  <c r="H12" i="32"/>
  <c r="U4" i="32"/>
  <c r="H90" i="31"/>
  <c r="G89" i="31"/>
  <c r="I89" i="31" s="1"/>
  <c r="I63" i="31"/>
  <c r="G62" i="31"/>
  <c r="I62" i="31" s="1"/>
  <c r="G61" i="31"/>
  <c r="I61" i="31" s="1"/>
  <c r="G54" i="31"/>
  <c r="I54" i="31" s="1"/>
  <c r="J55" i="31" s="1"/>
  <c r="G52" i="31"/>
  <c r="I52" i="31" s="1"/>
  <c r="G51" i="31"/>
  <c r="I51" i="31" s="1"/>
  <c r="G50" i="31"/>
  <c r="I50" i="31" s="1"/>
  <c r="G48" i="31"/>
  <c r="I48" i="31" s="1"/>
  <c r="J49" i="31" s="1"/>
  <c r="G46" i="31"/>
  <c r="I46" i="31" s="1"/>
  <c r="J47" i="31" s="1"/>
  <c r="G44" i="31"/>
  <c r="I44" i="31" s="1"/>
  <c r="G43" i="31"/>
  <c r="I43" i="31" s="1"/>
  <c r="G42" i="31"/>
  <c r="I42" i="31" s="1"/>
  <c r="G40" i="31"/>
  <c r="G38" i="31"/>
  <c r="G37" i="31"/>
  <c r="G35" i="31"/>
  <c r="I35" i="31" s="1"/>
  <c r="G33" i="31"/>
  <c r="I33" i="31" s="1"/>
  <c r="G32" i="31"/>
  <c r="I32" i="31" s="1"/>
  <c r="G31" i="31"/>
  <c r="I31" i="31" s="1"/>
  <c r="G30" i="31"/>
  <c r="I30" i="31" s="1"/>
  <c r="G29" i="31"/>
  <c r="I29" i="31" s="1"/>
  <c r="G28" i="31"/>
  <c r="I28" i="31" s="1"/>
  <c r="G27" i="31"/>
  <c r="I27" i="31" s="1"/>
  <c r="G26" i="31"/>
  <c r="I26" i="31" s="1"/>
  <c r="G25" i="31"/>
  <c r="I25" i="31" s="1"/>
  <c r="G24" i="31"/>
  <c r="I24" i="31" s="1"/>
  <c r="G21" i="31"/>
  <c r="I21" i="31" s="1"/>
  <c r="J22" i="31" s="1"/>
  <c r="G19" i="31"/>
  <c r="I19" i="31" s="1"/>
  <c r="J20" i="31" s="1"/>
  <c r="G17" i="31"/>
  <c r="I17" i="31" s="1"/>
  <c r="G16" i="31"/>
  <c r="I16" i="31" s="1"/>
  <c r="G15" i="31"/>
  <c r="I15" i="31" s="1"/>
  <c r="G14" i="31"/>
  <c r="I14" i="31" s="1"/>
  <c r="G13" i="31"/>
  <c r="I13" i="31" s="1"/>
  <c r="G11" i="31"/>
  <c r="I11" i="31" s="1"/>
  <c r="G10" i="31"/>
  <c r="I10" i="31" s="1"/>
  <c r="G8" i="31"/>
  <c r="I8" i="31" s="1"/>
  <c r="G7" i="31"/>
  <c r="I7" i="31" s="1"/>
  <c r="G6" i="31"/>
  <c r="I6" i="31" s="1"/>
  <c r="H3" i="31"/>
  <c r="F119" i="30"/>
  <c r="E119" i="30"/>
  <c r="C119" i="30"/>
  <c r="K5" i="31" s="1"/>
  <c r="G118" i="30"/>
  <c r="D118" i="30"/>
  <c r="I118" i="30" s="1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E7" i="30"/>
  <c r="J9" i="32" l="1"/>
  <c r="J53" i="31"/>
  <c r="J64" i="31"/>
  <c r="J45" i="31"/>
  <c r="J9" i="31"/>
  <c r="J18" i="31"/>
  <c r="J34" i="31"/>
  <c r="J12" i="31"/>
  <c r="G3" i="31"/>
  <c r="G119" i="30"/>
  <c r="D119" i="30"/>
  <c r="I119" i="30" s="1"/>
  <c r="I90" i="31"/>
  <c r="I3" i="31"/>
  <c r="G90" i="31"/>
  <c r="J3" i="31" l="1"/>
  <c r="J90" i="31"/>
  <c r="H25" i="27" l="1"/>
  <c r="H21" i="27"/>
  <c r="H23" i="27"/>
  <c r="H24" i="27"/>
  <c r="H10" i="27"/>
  <c r="H11" i="27"/>
  <c r="H12" i="27"/>
  <c r="H14" i="27"/>
  <c r="H15" i="27"/>
  <c r="H16" i="27"/>
  <c r="H17" i="27"/>
  <c r="H18" i="27"/>
  <c r="H19" i="27"/>
  <c r="H20" i="27"/>
  <c r="H9" i="27"/>
  <c r="H8" i="27"/>
  <c r="H7" i="27"/>
  <c r="H4" i="27"/>
  <c r="H5" i="27"/>
  <c r="H6" i="27"/>
  <c r="H3" i="27"/>
  <c r="H4" i="32"/>
  <c r="J4" i="32" s="1"/>
</calcChain>
</file>

<file path=xl/sharedStrings.xml><?xml version="1.0" encoding="utf-8"?>
<sst xmlns="http://schemas.openxmlformats.org/spreadsheetml/2006/main" count="717" uniqueCount="531">
  <si>
    <t>하나카드</t>
    <phoneticPr fontId="6" type="noConversion"/>
  </si>
  <si>
    <t>비씨카드</t>
    <phoneticPr fontId="6" type="noConversion"/>
  </si>
  <si>
    <t>롯데카드</t>
    <phoneticPr fontId="6" type="noConversion"/>
  </si>
  <si>
    <t>현대카드</t>
    <phoneticPr fontId="6" type="noConversion"/>
  </si>
  <si>
    <t>국민카드</t>
    <phoneticPr fontId="6" type="noConversion"/>
  </si>
  <si>
    <t>구분</t>
    <phoneticPr fontId="7" type="noConversion"/>
  </si>
  <si>
    <t>금액</t>
    <phoneticPr fontId="6" type="noConversion"/>
  </si>
  <si>
    <t>결제일</t>
    <phoneticPr fontId="6" type="noConversion"/>
  </si>
  <si>
    <t>금융기관명</t>
    <phoneticPr fontId="7" type="noConversion"/>
  </si>
  <si>
    <t>계좌번호</t>
    <phoneticPr fontId="7" type="noConversion"/>
  </si>
  <si>
    <t>계좌명</t>
    <phoneticPr fontId="7" type="noConversion"/>
  </si>
  <si>
    <t>신한은행</t>
    <phoneticPr fontId="7" type="noConversion"/>
  </si>
  <si>
    <t>110-390-765334</t>
    <phoneticPr fontId="7" type="noConversion"/>
  </si>
  <si>
    <t>강병진</t>
    <phoneticPr fontId="7" type="noConversion"/>
  </si>
  <si>
    <t>110-448-059587</t>
    <phoneticPr fontId="7" type="noConversion"/>
  </si>
  <si>
    <t>110-390-666425</t>
    <phoneticPr fontId="7" type="noConversion"/>
  </si>
  <si>
    <t>강병철</t>
    <phoneticPr fontId="7" type="noConversion"/>
  </si>
  <si>
    <t>110-243-190760</t>
    <phoneticPr fontId="7" type="noConversion"/>
  </si>
  <si>
    <t>강심구</t>
    <phoneticPr fontId="7" type="noConversion"/>
  </si>
  <si>
    <t>우리은행1</t>
    <phoneticPr fontId="7" type="noConversion"/>
  </si>
  <si>
    <t>1002-632-802793</t>
    <phoneticPr fontId="7" type="noConversion"/>
  </si>
  <si>
    <t>우리은행2</t>
    <phoneticPr fontId="7" type="noConversion"/>
  </si>
  <si>
    <t>1002-848-898243</t>
    <phoneticPr fontId="7" type="noConversion"/>
  </si>
  <si>
    <t>우체국1</t>
    <phoneticPr fontId="7" type="noConversion"/>
  </si>
  <si>
    <t>012-41902-172732</t>
    <phoneticPr fontId="7" type="noConversion"/>
  </si>
  <si>
    <t>우체국2</t>
    <phoneticPr fontId="7" type="noConversion"/>
  </si>
  <si>
    <t>013-27602-291800</t>
    <phoneticPr fontId="7" type="noConversion"/>
  </si>
  <si>
    <t>IBK기업은행</t>
    <phoneticPr fontId="7" type="noConversion"/>
  </si>
  <si>
    <t>010-5436-8965</t>
    <phoneticPr fontId="7" type="noConversion"/>
  </si>
  <si>
    <t>권기호</t>
    <phoneticPr fontId="7" type="noConversion"/>
  </si>
  <si>
    <t>110-285-967840</t>
    <phoneticPr fontId="7" type="noConversion"/>
  </si>
  <si>
    <t>김상철</t>
    <phoneticPr fontId="7" type="noConversion"/>
  </si>
  <si>
    <t>농협</t>
    <phoneticPr fontId="7" type="noConversion"/>
  </si>
  <si>
    <t>929-011-40441</t>
    <phoneticPr fontId="7" type="noConversion"/>
  </si>
  <si>
    <t>아버지</t>
    <phoneticPr fontId="7" type="noConversion"/>
  </si>
  <si>
    <t>KEB하나은행</t>
    <phoneticPr fontId="7" type="noConversion"/>
  </si>
  <si>
    <t>1009-79-60191037</t>
    <phoneticPr fontId="7" type="noConversion"/>
  </si>
  <si>
    <t>충청에너지서비스</t>
    <phoneticPr fontId="7" type="noConversion"/>
  </si>
  <si>
    <t>016-297-3265</t>
    <phoneticPr fontId="7" type="noConversion"/>
  </si>
  <si>
    <t>피재황</t>
    <phoneticPr fontId="7" type="noConversion"/>
  </si>
  <si>
    <t>유안타</t>
    <phoneticPr fontId="7" type="noConversion"/>
  </si>
  <si>
    <t>701-71-255264</t>
  </si>
  <si>
    <t>701-01-020723</t>
  </si>
  <si>
    <t>유안타(지출)</t>
    <phoneticPr fontId="7" type="noConversion"/>
  </si>
  <si>
    <t>701-71-294981</t>
  </si>
  <si>
    <t>유안타(예비)</t>
    <phoneticPr fontId="7" type="noConversion"/>
  </si>
  <si>
    <t>701-71-294982</t>
    <phoneticPr fontId="7" type="noConversion"/>
  </si>
  <si>
    <t>072-104336-01-017</t>
    <phoneticPr fontId="7" type="noConversion"/>
  </si>
  <si>
    <t>755010-51-036924</t>
    <phoneticPr fontId="7" type="noConversion"/>
  </si>
  <si>
    <t>352-1381-7408-03</t>
    <phoneticPr fontId="7" type="noConversion"/>
  </si>
  <si>
    <t>김종기</t>
    <phoneticPr fontId="7" type="noConversion"/>
  </si>
  <si>
    <t>6799-10-08408307</t>
    <phoneticPr fontId="7" type="noConversion"/>
  </si>
  <si>
    <t>현동훈</t>
    <phoneticPr fontId="7" type="noConversion"/>
  </si>
  <si>
    <t>요약명</t>
    <phoneticPr fontId="6" type="noConversion"/>
  </si>
  <si>
    <t>신한334</t>
    <phoneticPr fontId="6" type="noConversion"/>
  </si>
  <si>
    <t>신한587</t>
    <phoneticPr fontId="6" type="noConversion"/>
  </si>
  <si>
    <t>신한425</t>
    <phoneticPr fontId="6" type="noConversion"/>
  </si>
  <si>
    <t>신한760</t>
    <phoneticPr fontId="6" type="noConversion"/>
  </si>
  <si>
    <t>우리793</t>
    <phoneticPr fontId="6" type="noConversion"/>
  </si>
  <si>
    <t>우리243</t>
    <phoneticPr fontId="6" type="noConversion"/>
  </si>
  <si>
    <t>우체732</t>
    <phoneticPr fontId="6" type="noConversion"/>
  </si>
  <si>
    <t>우체800</t>
    <phoneticPr fontId="6" type="noConversion"/>
  </si>
  <si>
    <t>기업965</t>
    <phoneticPr fontId="6" type="noConversion"/>
  </si>
  <si>
    <t>신한840</t>
    <phoneticPr fontId="6" type="noConversion"/>
  </si>
  <si>
    <t>농협441</t>
    <phoneticPr fontId="6" type="noConversion"/>
  </si>
  <si>
    <t>하나037</t>
    <phoneticPr fontId="6" type="noConversion"/>
  </si>
  <si>
    <t>기업265</t>
    <phoneticPr fontId="6" type="noConversion"/>
  </si>
  <si>
    <t>유안264</t>
    <phoneticPr fontId="6" type="noConversion"/>
  </si>
  <si>
    <t>유안723</t>
    <phoneticPr fontId="6" type="noConversion"/>
  </si>
  <si>
    <t>유안981</t>
    <phoneticPr fontId="6" type="noConversion"/>
  </si>
  <si>
    <t>유안982</t>
    <phoneticPr fontId="6" type="noConversion"/>
  </si>
  <si>
    <t>기업017</t>
    <phoneticPr fontId="6" type="noConversion"/>
  </si>
  <si>
    <t>농협924</t>
    <phoneticPr fontId="6" type="noConversion"/>
  </si>
  <si>
    <t>농협803</t>
    <phoneticPr fontId="6" type="noConversion"/>
  </si>
  <si>
    <t>하나307</t>
    <phoneticPr fontId="6" type="noConversion"/>
  </si>
  <si>
    <t>카드명</t>
    <phoneticPr fontId="6" type="noConversion"/>
  </si>
  <si>
    <t>결제은행</t>
    <phoneticPr fontId="6" type="noConversion"/>
  </si>
  <si>
    <t>합계</t>
    <phoneticPr fontId="7" type="noConversion"/>
  </si>
  <si>
    <t>비고</t>
    <phoneticPr fontId="7" type="noConversion"/>
  </si>
  <si>
    <t>주유 관리</t>
    <phoneticPr fontId="7" type="noConversion"/>
  </si>
  <si>
    <t>차종</t>
    <phoneticPr fontId="7" type="noConversion"/>
  </si>
  <si>
    <t>산타페 C M</t>
    <phoneticPr fontId="7" type="noConversion"/>
  </si>
  <si>
    <t>년식</t>
    <phoneticPr fontId="7" type="noConversion"/>
  </si>
  <si>
    <t>2011년식</t>
    <phoneticPr fontId="7" type="noConversion"/>
  </si>
  <si>
    <t>유종</t>
    <phoneticPr fontId="7" type="noConversion"/>
  </si>
  <si>
    <t>경유</t>
    <phoneticPr fontId="7" type="noConversion"/>
  </si>
  <si>
    <t>구입</t>
    <phoneticPr fontId="7" type="noConversion"/>
  </si>
  <si>
    <t>일자</t>
  </si>
  <si>
    <t>최종 주행거리(km)</t>
  </si>
  <si>
    <t>주행거리(km)</t>
  </si>
  <si>
    <t>주유량(L)</t>
  </si>
  <si>
    <t>주유 금액(원)</t>
  </si>
  <si>
    <t>L당 금액(원)</t>
  </si>
  <si>
    <t>주유장소</t>
  </si>
  <si>
    <t>연비(km/L)</t>
  </si>
  <si>
    <t>이월</t>
    <phoneticPr fontId="7" type="noConversion"/>
  </si>
  <si>
    <t>가나안주유소</t>
    <phoneticPr fontId="7" type="noConversion"/>
  </si>
  <si>
    <t>삼화주유소</t>
    <phoneticPr fontId="7" type="noConversion"/>
  </si>
  <si>
    <t>삼화주유소</t>
  </si>
  <si>
    <t>푸른하늘주유소</t>
    <phoneticPr fontId="7" type="noConversion"/>
  </si>
  <si>
    <t>안성맞춤(평택)주유소</t>
    <phoneticPr fontId="7" type="noConversion"/>
  </si>
  <si>
    <t>더원에너지(증평)</t>
    <phoneticPr fontId="7" type="noConversion"/>
  </si>
  <si>
    <t>양산주유소</t>
    <phoneticPr fontId="7" type="noConversion"/>
  </si>
  <si>
    <t>선산주유소</t>
    <phoneticPr fontId="7" type="noConversion"/>
  </si>
  <si>
    <t>선산양평주유소</t>
    <phoneticPr fontId="7" type="noConversion"/>
  </si>
  <si>
    <t>합계(평균)</t>
  </si>
  <si>
    <t>정비 관리</t>
    <phoneticPr fontId="7" type="noConversion"/>
  </si>
  <si>
    <t>날  짜</t>
    <phoneticPr fontId="7" type="noConversion"/>
  </si>
  <si>
    <t>정비내역</t>
    <phoneticPr fontId="7" type="noConversion"/>
  </si>
  <si>
    <t>부품내역</t>
    <phoneticPr fontId="7" type="noConversion"/>
  </si>
  <si>
    <t>기술료</t>
    <phoneticPr fontId="7" type="noConversion"/>
  </si>
  <si>
    <t>총주행거리 (km)</t>
    <phoneticPr fontId="7" type="noConversion"/>
  </si>
  <si>
    <t>정비소</t>
    <phoneticPr fontId="7" type="noConversion"/>
  </si>
  <si>
    <t>수량</t>
    <phoneticPr fontId="7" type="noConversion"/>
  </si>
  <si>
    <t>단가</t>
    <phoneticPr fontId="7" type="noConversion"/>
  </si>
  <si>
    <t>계</t>
    <phoneticPr fontId="7" type="noConversion"/>
  </si>
  <si>
    <t>오른쪽 전조등 광택</t>
    <phoneticPr fontId="7" type="noConversion"/>
  </si>
  <si>
    <t>밧데리 교환</t>
    <phoneticPr fontId="7" type="noConversion"/>
  </si>
  <si>
    <t>오른쪽 전조등 전구 교환</t>
    <phoneticPr fontId="7" type="noConversion"/>
  </si>
  <si>
    <t>후방 마후라</t>
    <phoneticPr fontId="7" type="noConversion"/>
  </si>
  <si>
    <t>정기 점검</t>
    <phoneticPr fontId="7" type="noConversion"/>
  </si>
  <si>
    <t>소계</t>
    <phoneticPr fontId="7" type="noConversion"/>
  </si>
  <si>
    <t>엔진오일교환(고급형)</t>
  </si>
  <si>
    <t>스피디모터스</t>
  </si>
  <si>
    <t>에어크리너(스타렉스)</t>
    <phoneticPr fontId="7" type="noConversion"/>
  </si>
  <si>
    <t>A</t>
    <phoneticPr fontId="7" type="noConversion"/>
  </si>
  <si>
    <t>오일필터(그레이스,포터,스타렉스)</t>
    <phoneticPr fontId="7" type="noConversion"/>
  </si>
  <si>
    <t>KIXX S1 10W/40 벌크</t>
    <phoneticPr fontId="7" type="noConversion"/>
  </si>
  <si>
    <t>할인</t>
    <phoneticPr fontId="7" type="noConversion"/>
  </si>
  <si>
    <t>블랙박스</t>
    <phoneticPr fontId="7" type="noConversion"/>
  </si>
  <si>
    <t>네비게이션</t>
    <phoneticPr fontId="7" type="noConversion"/>
  </si>
  <si>
    <t>파워스티어링오일교환</t>
    <phoneticPr fontId="7" type="noConversion"/>
  </si>
  <si>
    <t>Power Steering OIL</t>
    <phoneticPr fontId="7" type="noConversion"/>
  </si>
  <si>
    <t>자동밋션AFT교환(장비사용)</t>
    <phoneticPr fontId="7" type="noConversion"/>
  </si>
  <si>
    <t>KIXX ATF MULTI PLUS 20L 캔(4-6속용)</t>
    <phoneticPr fontId="7" type="noConversion"/>
  </si>
  <si>
    <t>브레이크액교환(장비사용)</t>
    <phoneticPr fontId="7" type="noConversion"/>
  </si>
  <si>
    <t>Brake OIL SHD 0.5L 캔</t>
    <phoneticPr fontId="7" type="noConversion"/>
  </si>
  <si>
    <t>엔진오일교환(고급형)</t>
    <phoneticPr fontId="7" type="noConversion"/>
  </si>
  <si>
    <t>에어컨 벨트 조임</t>
    <phoneticPr fontId="7" type="noConversion"/>
  </si>
  <si>
    <t>천일 타이어 마스터</t>
    <phoneticPr fontId="7" type="noConversion"/>
  </si>
  <si>
    <t>에어컨 가스 주입</t>
    <phoneticPr fontId="7" type="noConversion"/>
  </si>
  <si>
    <t>전조등 우측 전구 교환</t>
    <phoneticPr fontId="7" type="noConversion"/>
  </si>
  <si>
    <t>청주자동차검사소</t>
    <phoneticPr fontId="7" type="noConversion"/>
  </si>
  <si>
    <t>브레이크등(좌), 번호판등2개</t>
    <phoneticPr fontId="7" type="noConversion"/>
  </si>
  <si>
    <t>예비 키</t>
    <phoneticPr fontId="7" type="noConversion"/>
  </si>
  <si>
    <t>블루핸즈</t>
    <phoneticPr fontId="7" type="noConversion"/>
  </si>
  <si>
    <t>일</t>
    <phoneticPr fontId="6" type="noConversion"/>
  </si>
  <si>
    <t>기업은행</t>
    <phoneticPr fontId="6" type="noConversion"/>
  </si>
  <si>
    <t>우리은행</t>
    <phoneticPr fontId="6" type="noConversion"/>
  </si>
  <si>
    <t>계</t>
    <phoneticPr fontId="6" type="noConversion"/>
  </si>
  <si>
    <t>내 용</t>
    <phoneticPr fontId="6" type="noConversion"/>
  </si>
  <si>
    <t>우체국732</t>
    <phoneticPr fontId="6" type="noConversion"/>
  </si>
  <si>
    <t>신한은행</t>
    <phoneticPr fontId="6" type="noConversion"/>
  </si>
  <si>
    <t>결제금액</t>
    <phoneticPr fontId="6" type="noConversion"/>
  </si>
  <si>
    <t>전잔액</t>
    <phoneticPr fontId="6" type="noConversion"/>
  </si>
  <si>
    <t>후잔액</t>
    <phoneticPr fontId="6" type="noConversion"/>
  </si>
  <si>
    <t>겔제은행</t>
    <phoneticPr fontId="6" type="noConversion"/>
  </si>
  <si>
    <t>0생활비</t>
    <phoneticPr fontId="6" type="noConversion"/>
  </si>
  <si>
    <t>1비씨카드</t>
    <phoneticPr fontId="6" type="noConversion"/>
  </si>
  <si>
    <t>1국민카드</t>
    <phoneticPr fontId="6" type="noConversion"/>
  </si>
  <si>
    <t>1우리카드</t>
    <phoneticPr fontId="6" type="noConversion"/>
  </si>
  <si>
    <t>1롯데카드</t>
    <phoneticPr fontId="6" type="noConversion"/>
  </si>
  <si>
    <t>2우체국 이자</t>
    <phoneticPr fontId="6" type="noConversion"/>
  </si>
  <si>
    <t>이체</t>
    <phoneticPr fontId="6" type="noConversion"/>
  </si>
  <si>
    <t>카드</t>
    <phoneticPr fontId="6" type="noConversion"/>
  </si>
  <si>
    <t>카드 명</t>
    <phoneticPr fontId="6" type="noConversion"/>
  </si>
  <si>
    <t>사용 금액</t>
    <phoneticPr fontId="6" type="noConversion"/>
  </si>
  <si>
    <t>신화에너지</t>
    <phoneticPr fontId="6" type="noConversion"/>
  </si>
  <si>
    <t>삼보주유소</t>
    <phoneticPr fontId="6" type="noConversion"/>
  </si>
  <si>
    <t>한라석유(칠곡)</t>
    <phoneticPr fontId="6" type="noConversion"/>
  </si>
  <si>
    <t>함안주유소(부산)</t>
    <phoneticPr fontId="6" type="noConversion"/>
  </si>
  <si>
    <t>문경(양평)주유소</t>
    <phoneticPr fontId="6" type="noConversion"/>
  </si>
  <si>
    <t>우체국</t>
    <phoneticPr fontId="19" type="noConversion"/>
  </si>
  <si>
    <t>gbrain99</t>
    <phoneticPr fontId="19" type="noConversion"/>
  </si>
  <si>
    <t>㈜삼표에너지동해</t>
    <phoneticPr fontId="6" type="noConversion"/>
  </si>
  <si>
    <t>수도/관리비</t>
    <phoneticPr fontId="6" type="noConversion"/>
  </si>
  <si>
    <t>날짜</t>
    <phoneticPr fontId="6" type="noConversion"/>
  </si>
  <si>
    <t>구분</t>
    <phoneticPr fontId="6" type="noConversion"/>
  </si>
  <si>
    <t>금액</t>
    <phoneticPr fontId="6" type="noConversion"/>
  </si>
  <si>
    <t>계좌번호</t>
    <phoneticPr fontId="6" type="noConversion"/>
  </si>
  <si>
    <t>은행</t>
    <phoneticPr fontId="6" type="noConversion"/>
  </si>
  <si>
    <t>계좌명</t>
    <phoneticPr fontId="6" type="noConversion"/>
  </si>
  <si>
    <t>연락처</t>
    <phoneticPr fontId="6" type="noConversion"/>
  </si>
  <si>
    <t>비고</t>
    <phoneticPr fontId="6" type="noConversion"/>
  </si>
  <si>
    <t>농협</t>
    <phoneticPr fontId="6" type="noConversion"/>
  </si>
  <si>
    <t>217038-52-018959</t>
    <phoneticPr fontId="6" type="noConversion"/>
  </si>
  <si>
    <t>김미정</t>
    <phoneticPr fontId="6" type="noConversion"/>
  </si>
  <si>
    <t>010-7758-8204</t>
    <phoneticPr fontId="6" type="noConversion"/>
  </si>
  <si>
    <t>푸른주택관리</t>
    <phoneticPr fontId="6" type="noConversion"/>
  </si>
  <si>
    <t>도시가스</t>
    <phoneticPr fontId="6" type="noConversion"/>
  </si>
  <si>
    <t>카드: www.seoulgas.co.kr</t>
    <phoneticPr fontId="6" type="noConversion"/>
  </si>
  <si>
    <t>전자납부번호</t>
    <phoneticPr fontId="6" type="noConversion"/>
  </si>
  <si>
    <t>60057-29175</t>
    <phoneticPr fontId="6" type="noConversion"/>
  </si>
  <si>
    <t>기업</t>
    <phoneticPr fontId="6" type="noConversion"/>
  </si>
  <si>
    <t>59504952-497211</t>
    <phoneticPr fontId="6" type="noConversion"/>
  </si>
  <si>
    <t>서울도시가스㈜</t>
    <phoneticPr fontId="6" type="noConversion"/>
  </si>
  <si>
    <t>031-967-3322</t>
    <phoneticPr fontId="6" type="noConversion"/>
  </si>
  <si>
    <t>전기요금</t>
    <phoneticPr fontId="6" type="noConversion"/>
  </si>
  <si>
    <t>10-1349-8109</t>
    <phoneticPr fontId="6" type="noConversion"/>
  </si>
  <si>
    <t>594-064307-97-574</t>
    <phoneticPr fontId="6" type="noConversion"/>
  </si>
  <si>
    <t>한국전력공사</t>
    <phoneticPr fontId="6" type="noConversion"/>
  </si>
  <si>
    <t>기한</t>
    <phoneticPr fontId="6" type="noConversion"/>
  </si>
  <si>
    <t>엔진오일,휠터,에어크리너</t>
    <phoneticPr fontId="6" type="noConversion"/>
  </si>
  <si>
    <t>블루핸즈(행신점)</t>
    <phoneticPr fontId="7" type="noConversion"/>
  </si>
  <si>
    <t>파워오일</t>
    <phoneticPr fontId="6" type="noConversion"/>
  </si>
  <si>
    <t>향균휠터</t>
    <phoneticPr fontId="6" type="noConversion"/>
  </si>
  <si>
    <t>동양증권</t>
  </si>
  <si>
    <t>우체국</t>
  </si>
  <si>
    <t>우리은행</t>
  </si>
  <si>
    <t>기업은행</t>
  </si>
  <si>
    <t>신한은행</t>
    <phoneticPr fontId="6" type="noConversion"/>
  </si>
  <si>
    <t>55-043-88</t>
  </si>
  <si>
    <t>수도/관리비</t>
    <phoneticPr fontId="6" type="noConversion"/>
  </si>
  <si>
    <t>도시가스</t>
    <phoneticPr fontId="6" type="noConversion"/>
  </si>
  <si>
    <t>신한카드</t>
    <phoneticPr fontId="6" type="noConversion"/>
  </si>
  <si>
    <t>전기요금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</si>
  <si>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</si>
  <si>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</si>
  <si>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</si>
  <si>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비씨카드</t>
    <phoneticPr fontId="6" type="noConversion"/>
  </si>
  <si>
    <t>1신한카드</t>
    <phoneticPr fontId="6" type="noConversion"/>
  </si>
  <si>
    <t>신한은행</t>
    <phoneticPr fontId="6" type="noConversion"/>
  </si>
  <si>
    <t>1신한카드</t>
    <phoneticPr fontId="6" type="noConversion"/>
  </si>
  <si>
    <t>비씨카드</t>
    <phoneticPr fontId="6" type="noConversion"/>
  </si>
  <si>
    <t>비씨카드</t>
    <phoneticPr fontId="6" type="noConversion"/>
  </si>
  <si>
    <t>수도/관리비</t>
    <phoneticPr fontId="6" type="noConversion"/>
  </si>
  <si>
    <t>정기검사</t>
    <phoneticPr fontId="6" type="noConversion"/>
  </si>
  <si>
    <t>고양자동차검사소</t>
    <phoneticPr fontId="6" type="noConversion"/>
  </si>
  <si>
    <t>도시가스</t>
    <phoneticPr fontId="6" type="noConversion"/>
  </si>
  <si>
    <t>전기요금</t>
    <phoneticPr fontId="6" type="noConversion"/>
  </si>
  <si>
    <t>수도/관리비</t>
    <phoneticPr fontId="6" type="noConversion"/>
  </si>
  <si>
    <t>컴플리트-연료 펌프</t>
    <phoneticPr fontId="6" type="noConversion"/>
  </si>
  <si>
    <t>밧데리 어셈블리</t>
    <phoneticPr fontId="6" type="noConversion"/>
  </si>
  <si>
    <t>연표 펌프 어셈블리(디젤)</t>
    <phoneticPr fontId="6" type="noConversion"/>
  </si>
  <si>
    <t>시동불능 관련 점검 및 Scan Tool진단 점검</t>
    <phoneticPr fontId="6" type="noConversion"/>
  </si>
  <si>
    <t>배터리 어셈블리</t>
    <phoneticPr fontId="6" type="noConversion"/>
  </si>
  <si>
    <t>타이어 공기압조정 - 서비스</t>
    <phoneticPr fontId="6" type="noConversion"/>
  </si>
  <si>
    <t>워셔액(에탄올) 주입</t>
    <phoneticPr fontId="6" type="noConversion"/>
  </si>
  <si>
    <t>연남점현대자동차</t>
    <phoneticPr fontId="6" type="noConversion"/>
  </si>
  <si>
    <t>블루핸즈</t>
    <phoneticPr fontId="6" type="noConversion"/>
  </si>
  <si>
    <t>마포구 연희로 47</t>
    <phoneticPr fontId="6" type="noConversion"/>
  </si>
  <si>
    <t>02-325-8204</t>
    <phoneticPr fontId="6" type="noConversion"/>
  </si>
  <si>
    <t>소 계</t>
    <phoneticPr fontId="6" type="noConversion"/>
  </si>
  <si>
    <t>VAT</t>
    <phoneticPr fontId="6" type="noConversion"/>
  </si>
  <si>
    <t>도시가스</t>
    <phoneticPr fontId="6" type="noConversion"/>
  </si>
  <si>
    <t>전기요금</t>
    <phoneticPr fontId="6" type="noConversion"/>
  </si>
  <si>
    <t>수도/관리비</t>
    <phoneticPr fontId="6" type="noConversion"/>
  </si>
  <si>
    <t>주민세</t>
    <phoneticPr fontId="6" type="noConversion"/>
  </si>
  <si>
    <t>농협</t>
    <phoneticPr fontId="6" type="noConversion"/>
  </si>
  <si>
    <t>790142-20-498507</t>
    <phoneticPr fontId="6" type="noConversion"/>
  </si>
  <si>
    <t>고양시 덕약구</t>
    <phoneticPr fontId="6" type="noConversion"/>
  </si>
  <si>
    <t>1644-4600</t>
    <phoneticPr fontId="6" type="noConversion"/>
  </si>
  <si>
    <t>41281-1-10-19-3-1909904-0</t>
    <phoneticPr fontId="6" type="noConversion"/>
  </si>
  <si>
    <t>도시가스</t>
    <phoneticPr fontId="6" type="noConversion"/>
  </si>
  <si>
    <t>전기요금</t>
    <phoneticPr fontId="6" type="noConversion"/>
  </si>
  <si>
    <t>하나카드</t>
    <phoneticPr fontId="6" type="noConversion"/>
  </si>
  <si>
    <t>이체</t>
    <phoneticPr fontId="6" type="noConversion"/>
  </si>
  <si>
    <t>지로</t>
    <phoneticPr fontId="6" type="noConversion"/>
  </si>
  <si>
    <t>과태료</t>
    <phoneticPr fontId="6" type="noConversion"/>
  </si>
  <si>
    <t>재산세</t>
    <phoneticPr fontId="6" type="noConversion"/>
  </si>
  <si>
    <t>인터넷 지로(비씨카드)</t>
    <phoneticPr fontId="6" type="noConversion"/>
  </si>
  <si>
    <t>카드</t>
    <phoneticPr fontId="6" type="noConversion"/>
  </si>
  <si>
    <t>41281-2-19-61-500772788</t>
    <phoneticPr fontId="6" type="noConversion"/>
  </si>
  <si>
    <t>교통행정과</t>
    <phoneticPr fontId="6" type="noConversion"/>
  </si>
  <si>
    <t>031-909-9000</t>
    <phoneticPr fontId="6" type="noConversion"/>
  </si>
  <si>
    <t>의령군</t>
    <phoneticPr fontId="6" type="noConversion"/>
  </si>
  <si>
    <t>지에스칼텍스 토당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</si>
  <si>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</si>
  <si>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</si>
  <si>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</si>
  <si>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수도/관리비</t>
    <phoneticPr fontId="6" type="noConversion"/>
  </si>
  <si>
    <t>에어크리너+오일필터+엔진오일(DPF+)</t>
    <phoneticPr fontId="6" type="noConversion"/>
  </si>
  <si>
    <t>실내항균필터교환(일반)</t>
    <phoneticPr fontId="6" type="noConversion"/>
  </si>
  <si>
    <t>연료첨가제(불스)</t>
    <phoneticPr fontId="6" type="noConversion"/>
  </si>
  <si>
    <t>연료동결방지제(불스)</t>
    <phoneticPr fontId="6" type="noConversion"/>
  </si>
  <si>
    <t>엔진오일첨가제(뷔르트)</t>
    <phoneticPr fontId="6" type="noConversion"/>
  </si>
  <si>
    <t>LH라이트전구수리</t>
    <phoneticPr fontId="6" type="noConversion"/>
  </si>
  <si>
    <t>한국모터스</t>
    <phoneticPr fontId="6" type="noConversion"/>
  </si>
  <si>
    <t>031-978-6300</t>
    <phoneticPr fontId="6" type="noConversion"/>
  </si>
  <si>
    <t>0137-2803-7-019-109764-5</t>
    <phoneticPr fontId="6" type="noConversion"/>
  </si>
  <si>
    <t>경찰청교통민원24(비씨카드)</t>
    <phoneticPr fontId="6" type="noConversion"/>
  </si>
  <si>
    <t>도시가스</t>
    <phoneticPr fontId="6" type="noConversion"/>
  </si>
  <si>
    <t>서울도시가스(앱)</t>
    <phoneticPr fontId="6" type="noConversion"/>
  </si>
  <si>
    <t>전기요금</t>
    <phoneticPr fontId="6" type="noConversion"/>
  </si>
  <si>
    <t>날짜</t>
    <phoneticPr fontId="6" type="noConversion"/>
  </si>
  <si>
    <t>통행료</t>
    <phoneticPr fontId="6" type="noConversion"/>
  </si>
  <si>
    <t>하이</t>
    <phoneticPr fontId="6" type="noConversion"/>
  </si>
  <si>
    <t>9410-6186-2999-1658</t>
    <phoneticPr fontId="6" type="noConversion"/>
  </si>
  <si>
    <t>천안고속도로</t>
    <phoneticPr fontId="6" type="noConversion"/>
  </si>
  <si>
    <t>041-850-6888</t>
    <phoneticPr fontId="6" type="noConversion"/>
  </si>
  <si>
    <t>하이패스 서비스 통합</t>
    <phoneticPr fontId="6" type="noConversion"/>
  </si>
  <si>
    <t>후불카드로 결제</t>
    <phoneticPr fontId="6" type="noConversion"/>
  </si>
  <si>
    <t>자동차세</t>
    <phoneticPr fontId="6" type="noConversion"/>
  </si>
  <si>
    <t>wetax</t>
    <phoneticPr fontId="6" type="noConversion"/>
  </si>
  <si>
    <t>wetax.go.kr</t>
    <phoneticPr fontId="6" type="noConversion"/>
  </si>
  <si>
    <t>비씨카드</t>
    <phoneticPr fontId="6" type="noConversion"/>
  </si>
  <si>
    <t>6개월</t>
    <phoneticPr fontId="6" type="noConversion"/>
  </si>
  <si>
    <t>수도/관리비</t>
    <phoneticPr fontId="6" type="noConversion"/>
  </si>
  <si>
    <t>비씨카드</t>
    <phoneticPr fontId="6" type="noConversion"/>
  </si>
  <si>
    <t>하나카드</t>
    <phoneticPr fontId="6" type="noConversion"/>
  </si>
  <si>
    <t>5137-9200-0482-9325</t>
    <phoneticPr fontId="6" type="noConversion"/>
  </si>
  <si>
    <t>롯데카드</t>
    <phoneticPr fontId="6" type="noConversion"/>
  </si>
  <si>
    <t>5387-2082-3405-5607</t>
    <phoneticPr fontId="6" type="noConversion"/>
  </si>
  <si>
    <t>우리카드</t>
    <phoneticPr fontId="6" type="noConversion"/>
  </si>
  <si>
    <t>9411-9400-0120-3158</t>
    <phoneticPr fontId="6" type="noConversion"/>
  </si>
  <si>
    <t>신한카드</t>
    <phoneticPr fontId="6" type="noConversion"/>
  </si>
  <si>
    <t>5409-2605-0433-3069</t>
    <phoneticPr fontId="6" type="noConversion"/>
  </si>
  <si>
    <t>국민카드</t>
    <phoneticPr fontId="6" type="noConversion"/>
  </si>
  <si>
    <t>1국민카드</t>
    <phoneticPr fontId="6" type="noConversion"/>
  </si>
  <si>
    <t>카드 명</t>
    <phoneticPr fontId="6" type="noConversion"/>
  </si>
  <si>
    <t>1롯데카드</t>
    <phoneticPr fontId="6" type="noConversion"/>
  </si>
  <si>
    <t>1비씨카드</t>
    <phoneticPr fontId="6" type="noConversion"/>
  </si>
  <si>
    <t>1신한카드</t>
    <phoneticPr fontId="6" type="noConversion"/>
  </si>
  <si>
    <t>1우리카드</t>
    <phoneticPr fontId="6" type="noConversion"/>
  </si>
  <si>
    <t>합계</t>
    <phoneticPr fontId="6" type="noConversion"/>
  </si>
  <si>
    <t>전기요금</t>
    <phoneticPr fontId="6" type="noConversion"/>
  </si>
  <si>
    <t>수도/관리비</t>
    <phoneticPr fontId="6" type="noConversion"/>
  </si>
  <si>
    <t>도시가스</t>
    <phoneticPr fontId="6" type="noConversion"/>
  </si>
  <si>
    <t>국민ISP</t>
    <phoneticPr fontId="6" type="noConversion"/>
  </si>
  <si>
    <t>전기요금</t>
    <phoneticPr fontId="6" type="noConversion"/>
  </si>
  <si>
    <t>cyber.kepco.co.kr</t>
    <phoneticPr fontId="6" type="noConversion"/>
  </si>
  <si>
    <t>BC</t>
    <phoneticPr fontId="6" type="noConversion"/>
  </si>
  <si>
    <t>이인(상)주유소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</si>
  <si>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</si>
  <si>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</si>
  <si>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</si>
  <si>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BC</t>
    <phoneticPr fontId="6" type="noConversion"/>
  </si>
  <si>
    <t>날짜</t>
    <phoneticPr fontId="6" type="noConversion"/>
  </si>
  <si>
    <t>국민카드</t>
    <phoneticPr fontId="6" type="noConversion"/>
  </si>
  <si>
    <t>롯데카드</t>
    <phoneticPr fontId="6" type="noConversion"/>
  </si>
  <si>
    <t>비씨카드</t>
    <phoneticPr fontId="6" type="noConversion"/>
  </si>
  <si>
    <t>신한카드</t>
    <phoneticPr fontId="6" type="noConversion"/>
  </si>
  <si>
    <t>우리타드</t>
    <phoneticPr fontId="6" type="noConversion"/>
  </si>
  <si>
    <t>하나카드</t>
    <phoneticPr fontId="6" type="noConversion"/>
  </si>
  <si>
    <t>합계</t>
    <phoneticPr fontId="6" type="noConversion"/>
  </si>
  <si>
    <t>유안타(주식)</t>
    <phoneticPr fontId="7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</si>
  <si>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</si>
  <si>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</si>
  <si>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</si>
  <si>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신한카드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</si>
  <si>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</si>
  <si>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</si>
  <si>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</si>
  <si>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지에스칼텍스 토당</t>
    <phoneticPr fontId="6" type="noConversion"/>
  </si>
  <si>
    <t>장모님</t>
    <phoneticPr fontId="7" type="noConversion"/>
  </si>
  <si>
    <t>수도/관리비</t>
    <phoneticPr fontId="6" type="noConversion"/>
  </si>
  <si>
    <t>자동차세</t>
    <phoneticPr fontId="6" type="noConversion"/>
  </si>
  <si>
    <t>6251-0323-2435-1424</t>
    <phoneticPr fontId="6" type="noConversion"/>
  </si>
  <si>
    <t>4119-0580-1076-6564</t>
    <phoneticPr fontId="6" type="noConversion"/>
  </si>
  <si>
    <t>도시가스</t>
    <phoneticPr fontId="6" type="noConversion"/>
  </si>
  <si>
    <t>신한카드</t>
    <phoneticPr fontId="6" type="noConversion"/>
  </si>
  <si>
    <t>전기요금</t>
    <phoneticPr fontId="6" type="noConversion"/>
  </si>
  <si>
    <t>쇼바 마운트(운전석 앞)</t>
    <phoneticPr fontId="6" type="noConversion"/>
  </si>
  <si>
    <t>한국모터스</t>
    <phoneticPr fontId="6" type="noConversion"/>
  </si>
  <si>
    <t>9410-6186-2999-1658</t>
    <phoneticPr fontId="6" type="noConversion"/>
  </si>
  <si>
    <t>신한카드</t>
    <phoneticPr fontId="6" type="noConversion"/>
  </si>
  <si>
    <t>하이패스</t>
    <phoneticPr fontId="6" type="noConversion"/>
  </si>
  <si>
    <t>조수석 앞 라이트 수리</t>
  </si>
  <si>
    <t>에어크리너+오일필터+엔진오일(DPF+)</t>
    <phoneticPr fontId="6" type="noConversion"/>
  </si>
  <si>
    <t>실내항균필터교환(일반)</t>
    <phoneticPr fontId="6" type="noConversion"/>
  </si>
  <si>
    <t>연료첨가제(불스)</t>
    <phoneticPr fontId="6" type="noConversion"/>
  </si>
  <si>
    <t>세차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</si>
  <si>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</si>
  <si>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</si>
  <si>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</si>
  <si>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수도/관리비</t>
    <phoneticPr fontId="6" type="noConversion"/>
  </si>
  <si>
    <t>도시가스</t>
    <phoneticPr fontId="6" type="noConversion"/>
  </si>
  <si>
    <t>전기요금</t>
    <phoneticPr fontId="6" type="noConversion"/>
  </si>
  <si>
    <t>302-6477-2140-71</t>
    <phoneticPr fontId="6" type="noConversion"/>
  </si>
  <si>
    <t>농협 71</t>
    <phoneticPr fontId="6" type="noConversion"/>
  </si>
  <si>
    <t>농협</t>
    <phoneticPr fontId="7" type="noConversion"/>
  </si>
  <si>
    <t>강심구</t>
    <phoneticPr fontId="7" type="noConversion"/>
  </si>
  <si>
    <t>농협</t>
    <phoneticPr fontId="6" type="noConversion"/>
  </si>
  <si>
    <t>5주식</t>
    <phoneticPr fontId="6" type="noConversion"/>
  </si>
  <si>
    <t>범칙금/과태료</t>
    <phoneticPr fontId="7" type="noConversion"/>
  </si>
  <si>
    <t>고양시 덕양구 강미동 120-1 시전 3차(서울-&gt;고양)</t>
    <phoneticPr fontId="7" type="noConversion"/>
  </si>
  <si>
    <t>기한</t>
    <phoneticPr fontId="7" type="noConversion"/>
  </si>
  <si>
    <t>범칙금</t>
    <phoneticPr fontId="7" type="noConversion"/>
  </si>
  <si>
    <t>장 소</t>
    <phoneticPr fontId="7" type="noConversion"/>
  </si>
  <si>
    <t>03: 48분 속도 위반(제한 :70, 주행 86)</t>
    <phoneticPr fontId="6" type="noConversion"/>
  </si>
  <si>
    <t>납기후</t>
    <phoneticPr fontId="7" type="noConversion"/>
  </si>
  <si>
    <t>납부일</t>
    <phoneticPr fontId="6" type="noConversion"/>
  </si>
  <si>
    <t>납부금액</t>
    <phoneticPr fontId="6" type="noConversion"/>
  </si>
  <si>
    <t>주민세</t>
    <phoneticPr fontId="6" type="noConversion"/>
  </si>
  <si>
    <t>자동차세</t>
    <phoneticPr fontId="6" type="noConversion"/>
  </si>
  <si>
    <t>과태료</t>
    <phoneticPr fontId="6" type="noConversion"/>
  </si>
  <si>
    <t>수도/관리비</t>
    <phoneticPr fontId="6" type="noConversion"/>
  </si>
  <si>
    <t>전기요금</t>
    <phoneticPr fontId="6" type="noConversion"/>
  </si>
  <si>
    <t>도시가스</t>
    <phoneticPr fontId="6" type="noConversion"/>
  </si>
  <si>
    <t>년도</t>
    <phoneticPr fontId="6" type="noConversion"/>
  </si>
  <si>
    <t>행 레이블</t>
  </si>
  <si>
    <t>총합계</t>
  </si>
  <si>
    <t>재산세</t>
    <phoneticPr fontId="6" type="noConversion"/>
  </si>
  <si>
    <t>수도/관리비</t>
    <phoneticPr fontId="6" type="noConversion"/>
  </si>
  <si>
    <t>전기요금</t>
    <phoneticPr fontId="6" type="noConversion"/>
  </si>
  <si>
    <t>도시가스</t>
    <phoneticPr fontId="6" type="noConversion"/>
  </si>
  <si>
    <t>수도/관리비</t>
    <phoneticPr fontId="6" type="noConversion"/>
  </si>
  <si>
    <t>3주택</t>
    <phoneticPr fontId="6" type="noConversion"/>
  </si>
  <si>
    <t>3적립</t>
    <phoneticPr fontId="6" type="noConversion"/>
  </si>
  <si>
    <t>우체국732</t>
    <phoneticPr fontId="6" type="noConversion"/>
  </si>
  <si>
    <t>적립</t>
    <phoneticPr fontId="6" type="noConversion"/>
  </si>
  <si>
    <t>주택</t>
    <phoneticPr fontId="6" type="noConversion"/>
  </si>
  <si>
    <t>전기요금</t>
    <phoneticPr fontId="6" type="noConversion"/>
  </si>
  <si>
    <t>도시가스</t>
    <phoneticPr fontId="6" type="noConversion"/>
  </si>
  <si>
    <t>과태료</t>
    <phoneticPr fontId="6" type="noConversion"/>
  </si>
  <si>
    <t>과태료</t>
    <phoneticPr fontId="6" type="noConversion"/>
  </si>
  <si>
    <t>수도/관리비</t>
    <phoneticPr fontId="6" type="noConversion"/>
  </si>
  <si>
    <t>전기요금</t>
    <phoneticPr fontId="6" type="noConversion"/>
  </si>
  <si>
    <t>도시가스</t>
    <phoneticPr fontId="6" type="noConversion"/>
  </si>
  <si>
    <t>라이나</t>
    <phoneticPr fontId="6" type="noConversion"/>
  </si>
  <si>
    <t>롯데하우머치</t>
    <phoneticPr fontId="6" type="noConversion"/>
  </si>
  <si>
    <t>주식</t>
    <phoneticPr fontId="6" type="noConversion"/>
  </si>
  <si>
    <t>적립</t>
    <phoneticPr fontId="6" type="noConversion"/>
  </si>
  <si>
    <t>주택</t>
    <phoneticPr fontId="6" type="noConversion"/>
  </si>
  <si>
    <t>과태료</t>
    <phoneticPr fontId="6" type="noConversion"/>
  </si>
  <si>
    <t>경찰청교통민원24(비씨카드)</t>
    <phoneticPr fontId="6" type="noConversion"/>
  </si>
  <si>
    <t>통행료</t>
    <phoneticPr fontId="6" type="noConversion"/>
  </si>
  <si>
    <t>휴대폰</t>
    <phoneticPr fontId="6" type="noConversion"/>
  </si>
  <si>
    <t>자동차세</t>
    <phoneticPr fontId="6" type="noConversion"/>
  </si>
  <si>
    <t>대신적유㈜ 남서울(석수)</t>
    <phoneticPr fontId="6" type="noConversion"/>
  </si>
  <si>
    <t>관리비</t>
    <phoneticPr fontId="6" type="noConversion"/>
  </si>
  <si>
    <t>우리</t>
    <phoneticPr fontId="6" type="noConversion"/>
  </si>
  <si>
    <t>293-133629-01-001</t>
    <phoneticPr fontId="6" type="noConversion"/>
  </si>
  <si>
    <t>대우시티프라자</t>
    <phoneticPr fontId="6" type="noConversion"/>
  </si>
  <si>
    <t>031-921-6507~8</t>
    <phoneticPr fontId="6" type="noConversion"/>
  </si>
  <si>
    <t>관리비</t>
    <phoneticPr fontId="6" type="noConversion"/>
  </si>
  <si>
    <t>오렌지주유소</t>
    <phoneticPr fontId="6" type="noConversion"/>
  </si>
  <si>
    <t>관리비</t>
  </si>
  <si>
    <t>남은 거리</t>
    <phoneticPr fontId="6" type="noConversion"/>
  </si>
  <si>
    <t>관리비</t>
    <phoneticPr fontId="6" type="noConversion"/>
  </si>
  <si>
    <t>자동차세</t>
    <phoneticPr fontId="6" type="noConversion"/>
  </si>
  <si>
    <t>연체료</t>
    <phoneticPr fontId="6" type="noConversion"/>
  </si>
  <si>
    <t>관리비</t>
    <phoneticPr fontId="6" type="noConversion"/>
  </si>
  <si>
    <t>㈜대경유업안곡주유소</t>
    <phoneticPr fontId="6" type="noConversion"/>
  </si>
  <si>
    <t>정기검사</t>
    <phoneticPr fontId="6" type="noConversion"/>
  </si>
  <si>
    <t>안개등 기타 등</t>
    <phoneticPr fontId="6" type="noConversion"/>
  </si>
  <si>
    <t>관리비</t>
    <phoneticPr fontId="6" type="noConversion"/>
  </si>
  <si>
    <t>주민세</t>
    <phoneticPr fontId="6" type="noConversion"/>
  </si>
  <si>
    <t>재산세</t>
    <phoneticPr fontId="6" type="noConversion"/>
  </si>
  <si>
    <t>카드</t>
    <phoneticPr fontId="6" type="noConversion"/>
  </si>
  <si>
    <t>의령군</t>
    <phoneticPr fontId="6" type="noConversion"/>
  </si>
  <si>
    <t>관리비</t>
    <phoneticPr fontId="6" type="noConversion"/>
  </si>
  <si>
    <t>관리비</t>
    <phoneticPr fontId="6" type="noConversion"/>
  </si>
  <si>
    <t>국민카드T</t>
  </si>
  <si>
    <t>롯데카드T</t>
  </si>
  <si>
    <t>비씨카드T</t>
  </si>
  <si>
    <t>신한카드T</t>
  </si>
  <si>
    <t>우리타드T</t>
  </si>
  <si>
    <t>하나카드T</t>
  </si>
  <si>
    <t>합계T</t>
  </si>
  <si>
    <t>관리비</t>
    <phoneticPr fontId="6" type="noConversion"/>
  </si>
  <si>
    <t>키 밧데리 교환</t>
    <phoneticPr fontId="6" type="noConversion"/>
  </si>
  <si>
    <t>자동차세</t>
    <phoneticPr fontId="6" type="noConversion"/>
  </si>
  <si>
    <t>적십자회비</t>
    <phoneticPr fontId="6" type="noConversion"/>
  </si>
  <si>
    <t>기업</t>
    <phoneticPr fontId="6" type="noConversion"/>
  </si>
  <si>
    <t>148-092779-97-246</t>
    <phoneticPr fontId="6" type="noConversion"/>
  </si>
  <si>
    <t>대한적십자사</t>
    <phoneticPr fontId="6" type="noConversion"/>
  </si>
  <si>
    <t>1577-8179</t>
    <phoneticPr fontId="6" type="noConversion"/>
  </si>
  <si>
    <t>관리비</t>
    <phoneticPr fontId="6" type="noConversion"/>
  </si>
  <si>
    <t>엔진오일 세트 교환</t>
    <phoneticPr fontId="6" type="noConversion"/>
  </si>
  <si>
    <t>VAT</t>
    <phoneticPr fontId="6" type="noConversion"/>
  </si>
  <si>
    <t>관리비</t>
    <phoneticPr fontId="6" type="noConversion"/>
  </si>
  <si>
    <t>전기</t>
    <phoneticPr fontId="6" type="noConversion"/>
  </si>
  <si>
    <t>온수</t>
    <phoneticPr fontId="6" type="noConversion"/>
  </si>
  <si>
    <t>수도</t>
    <phoneticPr fontId="6" type="noConversion"/>
  </si>
  <si>
    <t>합계</t>
    <phoneticPr fontId="6" type="noConversion"/>
  </si>
  <si>
    <t>비과세</t>
    <phoneticPr fontId="6" type="noConversion"/>
  </si>
  <si>
    <t>과세</t>
    <phoneticPr fontId="6" type="noConversion"/>
  </si>
  <si>
    <t>관리비</t>
    <phoneticPr fontId="6" type="noConversion"/>
  </si>
  <si>
    <t>6521-0323-6212-8031</t>
    <phoneticPr fontId="6" type="noConversion"/>
  </si>
  <si>
    <t>비씨카드</t>
    <phoneticPr fontId="6" type="noConversion"/>
  </si>
  <si>
    <t>5389-0382-2476-2526</t>
    <phoneticPr fontId="6" type="noConversion"/>
  </si>
  <si>
    <t>check</t>
    <phoneticPr fontId="6" type="noConversion"/>
  </si>
  <si>
    <t>3기업대출</t>
    <phoneticPr fontId="6" type="noConversion"/>
  </si>
  <si>
    <t>기업은행</t>
    <phoneticPr fontId="6" type="noConversion"/>
  </si>
  <si>
    <t>관리비</t>
    <phoneticPr fontId="6" type="noConversion"/>
  </si>
  <si>
    <t>관리비</t>
    <phoneticPr fontId="6" type="noConversion"/>
  </si>
  <si>
    <t>2관리비</t>
    <phoneticPr fontId="6" type="noConversion"/>
  </si>
  <si>
    <t>3기업대출</t>
    <phoneticPr fontId="6" type="noConversion"/>
  </si>
  <si>
    <t>3대신대출</t>
    <phoneticPr fontId="6" type="noConversion"/>
  </si>
  <si>
    <t>관리비</t>
    <phoneticPr fontId="6" type="noConversion"/>
  </si>
  <si>
    <t>관리비</t>
    <phoneticPr fontId="6" type="noConversion"/>
  </si>
  <si>
    <t>3기업대출</t>
    <phoneticPr fontId="6" type="noConversion"/>
  </si>
  <si>
    <t>관리비</t>
    <phoneticPr fontId="6" type="noConversion"/>
  </si>
  <si>
    <t>기업은행2</t>
    <phoneticPr fontId="6" type="noConversion"/>
  </si>
  <si>
    <t>관리비</t>
    <phoneticPr fontId="6" type="noConversion"/>
  </si>
  <si>
    <t>관리비</t>
    <phoneticPr fontId="6" type="noConversion"/>
  </si>
  <si>
    <t>관리비</t>
    <phoneticPr fontId="6" type="noConversion"/>
  </si>
  <si>
    <t>3569-0801-1614-2687</t>
    <phoneticPr fontId="6" type="noConversion"/>
  </si>
  <si>
    <t>신한카드</t>
    <phoneticPr fontId="6" type="noConversion"/>
  </si>
  <si>
    <t>4619-5410-5307-3555</t>
    <phoneticPr fontId="6" type="noConversion"/>
  </si>
  <si>
    <t>신한카드</t>
    <phoneticPr fontId="6" type="noConversion"/>
  </si>
  <si>
    <t>check</t>
    <phoneticPr fontId="6" type="noConversion"/>
  </si>
  <si>
    <t>L10(L)</t>
    <phoneticPr fontId="7" type="noConversion"/>
  </si>
  <si>
    <t>주행(km)</t>
    <phoneticPr fontId="6" type="noConversion"/>
  </si>
  <si>
    <t>L10합</t>
    <phoneticPr fontId="6" type="noConversion"/>
  </si>
  <si>
    <t>L당</t>
    <phoneticPr fontId="6" type="noConversion"/>
  </si>
  <si>
    <t>관리비</t>
    <phoneticPr fontId="6" type="noConversion"/>
  </si>
  <si>
    <t>293-137569-02-016</t>
  </si>
  <si>
    <t>293-137569-02-016</t>
    <phoneticPr fontId="6" type="noConversion"/>
  </si>
  <si>
    <t>기업016</t>
  </si>
  <si>
    <t>기업016</t>
    <phoneticPr fontId="6" type="noConversion"/>
  </si>
  <si>
    <t>010-6477-2140</t>
    <phoneticPr fontId="6" type="noConversion"/>
  </si>
  <si>
    <t>010-6477-2141</t>
  </si>
  <si>
    <t>4854-8075-4021-8838</t>
    <phoneticPr fontId="6" type="noConversion"/>
  </si>
  <si>
    <t>농협카드</t>
    <phoneticPr fontId="6" type="noConversion"/>
  </si>
  <si>
    <t>check</t>
    <phoneticPr fontId="6" type="noConversion"/>
  </si>
  <si>
    <t>5409-2618-9328-7023</t>
    <phoneticPr fontId="6" type="noConversion"/>
  </si>
  <si>
    <t>국민카드</t>
    <phoneticPr fontId="6" type="noConversion"/>
  </si>
  <si>
    <t>5461-1120-2524-9404</t>
    <phoneticPr fontId="6" type="noConversion"/>
  </si>
  <si>
    <t>농협카드</t>
    <phoneticPr fontId="6" type="noConversion"/>
  </si>
  <si>
    <t>check</t>
    <phoneticPr fontId="6" type="noConversion"/>
  </si>
  <si>
    <t>9440-0381-4214-0234</t>
    <phoneticPr fontId="6" type="noConversion"/>
  </si>
  <si>
    <t>비씨카드</t>
    <phoneticPr fontId="6" type="noConversion"/>
  </si>
  <si>
    <t>5237-9200-5457-7626</t>
    <phoneticPr fontId="6" type="noConversion"/>
  </si>
  <si>
    <t>롯데카드</t>
    <phoneticPr fontId="6" type="noConversion"/>
  </si>
  <si>
    <t>관리비</t>
    <phoneticPr fontId="6" type="noConversion"/>
  </si>
  <si>
    <t>우체국</t>
    <phoneticPr fontId="6" type="noConversion"/>
  </si>
  <si>
    <t>배터리 교환</t>
    <phoneticPr fontId="6" type="noConversion"/>
  </si>
  <si>
    <t>관리비</t>
    <phoneticPr fontId="6" type="noConversion"/>
  </si>
  <si>
    <t>㈜일산그린주유소 GS칼텍스</t>
    <phoneticPr fontId="6" type="noConversion"/>
  </si>
  <si>
    <t>관리비</t>
    <phoneticPr fontId="6" type="noConversion"/>
  </si>
  <si>
    <t>관리비</t>
    <phoneticPr fontId="6" type="noConversion"/>
  </si>
  <si>
    <t>칠곡(서울)주유소</t>
    <phoneticPr fontId="6" type="noConversion"/>
  </si>
  <si>
    <t>자유제일주유소</t>
    <phoneticPr fontId="6" type="noConversion"/>
  </si>
  <si>
    <t>관리비</t>
    <phoneticPr fontId="6" type="noConversion"/>
  </si>
  <si>
    <t>GS칼텍스 상암주유소</t>
    <phoneticPr fontId="6" type="noConversion"/>
  </si>
  <si>
    <t>관리비</t>
    <phoneticPr fontId="6" type="noConversion"/>
  </si>
  <si>
    <t>년월</t>
    <phoneticPr fontId="6" type="noConversion"/>
  </si>
  <si>
    <t>관리비</t>
    <phoneticPr fontId="6" type="noConversion"/>
  </si>
  <si>
    <t>자유제일주유소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</si>
</sst>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1" formatCode="_-* #,##0_-;\-* #,##0_-;_-* &quot;-&quot;_-;_-@_-"/>
    <numFmt numFmtId="176" formatCode="\ yyyy&quot;년&quot;\ mm&quot;월&quot;\ dd&quot;일&quot;"/>
    <numFmt numFmtId="177" formatCode="#,##0.000_ "/>
    <numFmt numFmtId="178" formatCode="mm&quot;월&quot;\ dd&quot;일&quot;"/>
    <numFmt numFmtId="179" formatCode="#,##0_ "/>
    <numFmt numFmtId="180" formatCode="_-* #,##0.00_-;\-* #,##0.00_-;_-* &quot;-&quot;_-;_-@_-"/>
    <numFmt numFmtId="181" formatCode="_-* #,##0.0_-;\-* #,##0.0_-;_-* &quot;-&quot;_-;_-@_-"/>
    <numFmt numFmtId="182" formatCode="_-* #,##0.000_-;\-* #,##0.000_-;_-* &quot;-&quot;_-;_-@_-"/>
    <numFmt numFmtId="183" formatCode="#,##0.0_ "/>
    <numFmt numFmtId="184" formatCode="#,##0.00_ "/>
    <numFmt numFmtId="185" formatCode="0\ &quot;일&quot;"/>
    <numFmt numFmtId="186" formatCode="#,##0_ ;[Red]\-#,##0\ "/>
    <numFmt numFmtId="187" formatCode="00"/>
    <numFmt numFmtId="188" formatCode="000"/>
    <numFmt numFmtId="189" formatCode="&quot;유&quot;&quot;효&quot;\ 00/00"/>
    <numFmt numFmtId="190" formatCode="0_);[Red]\(0\)"/>
    <numFmt numFmtId="191" formatCode="mm\/yy"/>
  </numFmts>
  <fonts count="24">
    <font>
      <sz val="10"/>
      <color theme="1"/>
      <name val="맑은 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8"/>
      <name val="맑은 고딕"/>
      <family val="2"/>
      <charset val="129"/>
    </font>
    <font>
      <sz val="8"/>
      <name val="나눔고딕"/>
      <family val="2"/>
      <charset val="129"/>
    </font>
    <font>
      <b/>
      <sz val="8"/>
      <color rgb="FFFFFFFF"/>
      <name val="나눔고딕"/>
      <family val="2"/>
    </font>
    <font>
      <sz val="10"/>
      <color theme="1"/>
      <name val="맑은 고딕"/>
      <family val="2"/>
      <charset val="129"/>
    </font>
    <font>
      <b/>
      <sz val="10"/>
      <color theme="1"/>
      <name val="맑은 고딕"/>
      <family val="3"/>
      <charset val="129"/>
    </font>
    <font>
      <b/>
      <sz val="10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9"/>
      <color rgb="FF000000"/>
      <name val="돋움"/>
      <family val="3"/>
      <charset val="129"/>
    </font>
    <font>
      <sz val="8"/>
      <color theme="1"/>
      <name val="나눔고딕"/>
      <family val="2"/>
      <charset val="129"/>
    </font>
    <font>
      <b/>
      <sz val="8"/>
      <color rgb="FF404FB3"/>
      <name val="나눔고딕"/>
      <family val="3"/>
      <charset val="129"/>
    </font>
    <font>
      <sz val="24"/>
      <color rgb="FF404FB3"/>
      <name val="돋움"/>
      <family val="3"/>
      <charset val="129"/>
    </font>
    <font>
      <sz val="8"/>
      <color rgb="FF404FB3"/>
      <name val="나눔고딕"/>
      <family val="3"/>
      <charset val="129"/>
    </font>
    <font>
      <sz val="8"/>
      <color rgb="FF000000"/>
      <name val="나눔고딕"/>
      <family val="2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나눔고딕"/>
      <family val="3"/>
      <charset val="129"/>
    </font>
    <font>
      <sz val="10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263A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hair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5" fillId="0" borderId="0" xfId="1" applyFont="1">
      <alignment vertical="center"/>
    </xf>
    <xf numFmtId="41" fontId="0" fillId="0" borderId="0" xfId="3" applyFont="1">
      <alignment vertical="center"/>
    </xf>
    <xf numFmtId="14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11" fillId="2" borderId="2" xfId="1" applyFon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 vertical="center"/>
    </xf>
    <xf numFmtId="0" fontId="11" fillId="2" borderId="4" xfId="1" applyFont="1" applyFill="1" applyBorder="1" applyAlignment="1">
      <alignment horizontal="center" vertical="center"/>
    </xf>
    <xf numFmtId="41" fontId="5" fillId="0" borderId="5" xfId="2" applyFont="1" applyBorder="1">
      <alignment vertical="center"/>
    </xf>
    <xf numFmtId="41" fontId="12" fillId="0" borderId="6" xfId="2" applyFont="1" applyBorder="1">
      <alignment vertical="center"/>
    </xf>
    <xf numFmtId="41" fontId="5" fillId="0" borderId="7" xfId="2" applyFont="1" applyBorder="1">
      <alignment vertical="center"/>
    </xf>
    <xf numFmtId="41" fontId="5" fillId="0" borderId="8" xfId="2" applyFont="1" applyBorder="1">
      <alignment vertical="center"/>
    </xf>
    <xf numFmtId="41" fontId="12" fillId="0" borderId="9" xfId="2" applyFont="1" applyBorder="1">
      <alignment vertical="center"/>
    </xf>
    <xf numFmtId="41" fontId="5" fillId="0" borderId="10" xfId="2" applyFont="1" applyBorder="1">
      <alignment vertical="center"/>
    </xf>
    <xf numFmtId="41" fontId="5" fillId="0" borderId="11" xfId="2" applyFont="1" applyBorder="1">
      <alignment vertical="center"/>
    </xf>
    <xf numFmtId="0" fontId="4" fillId="0" borderId="0" xfId="1">
      <alignment vertical="center"/>
    </xf>
    <xf numFmtId="41" fontId="5" fillId="0" borderId="9" xfId="2" applyFont="1" applyBorder="1">
      <alignment vertical="center"/>
    </xf>
    <xf numFmtId="41" fontId="5" fillId="0" borderId="12" xfId="2" applyFont="1" applyBorder="1">
      <alignment vertical="center"/>
    </xf>
    <xf numFmtId="41" fontId="5" fillId="0" borderId="13" xfId="2" applyFont="1" applyBorder="1">
      <alignment vertical="center"/>
    </xf>
    <xf numFmtId="41" fontId="5" fillId="0" borderId="14" xfId="2" applyFont="1" applyBorder="1">
      <alignment vertical="center"/>
    </xf>
    <xf numFmtId="41" fontId="5" fillId="0" borderId="15" xfId="2" applyFont="1" applyBorder="1">
      <alignment vertical="center"/>
    </xf>
    <xf numFmtId="41" fontId="12" fillId="0" borderId="16" xfId="2" applyFont="1" applyBorder="1">
      <alignment vertical="center"/>
    </xf>
    <xf numFmtId="41" fontId="5" fillId="0" borderId="17" xfId="2" applyFont="1" applyBorder="1">
      <alignment vertical="center"/>
    </xf>
    <xf numFmtId="0" fontId="11" fillId="2" borderId="18" xfId="1" applyFont="1" applyFill="1" applyBorder="1" applyAlignment="1">
      <alignment horizontal="center" vertical="center"/>
    </xf>
    <xf numFmtId="41" fontId="12" fillId="0" borderId="19" xfId="2" applyFont="1" applyBorder="1">
      <alignment vertical="center"/>
    </xf>
    <xf numFmtId="41" fontId="12" fillId="0" borderId="20" xfId="2" applyFont="1" applyBorder="1">
      <alignment vertical="center"/>
    </xf>
    <xf numFmtId="41" fontId="5" fillId="0" borderId="20" xfId="2" applyFont="1" applyBorder="1">
      <alignment vertical="center"/>
    </xf>
    <xf numFmtId="41" fontId="5" fillId="0" borderId="21" xfId="2" applyFont="1" applyBorder="1">
      <alignment vertical="center"/>
    </xf>
    <xf numFmtId="41" fontId="12" fillId="0" borderId="22" xfId="2" applyFont="1" applyBorder="1">
      <alignment vertical="center"/>
    </xf>
    <xf numFmtId="0" fontId="5" fillId="0" borderId="0" xfId="1" applyFont="1" applyAlignment="1">
      <alignment horizontal="center" vertical="center"/>
    </xf>
    <xf numFmtId="0" fontId="5" fillId="0" borderId="1" xfId="1" applyFont="1" applyBorder="1">
      <alignment vertical="center"/>
    </xf>
    <xf numFmtId="0" fontId="5" fillId="0" borderId="1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4" fillId="0" borderId="0" xfId="1" applyFont="1">
      <alignment vertical="center"/>
    </xf>
    <xf numFmtId="41" fontId="14" fillId="0" borderId="0" xfId="1" applyNumberFormat="1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0" borderId="1" xfId="0" applyBorder="1">
      <alignment vertical="center"/>
    </xf>
    <xf numFmtId="41" fontId="17" fillId="2" borderId="23" xfId="2" applyFont="1" applyFill="1" applyBorder="1" applyAlignment="1">
      <alignment horizontal="center" vertical="center"/>
    </xf>
    <xf numFmtId="41" fontId="17" fillId="2" borderId="0" xfId="2" applyFont="1" applyFill="1" applyBorder="1" applyAlignment="1">
      <alignment horizontal="center" vertical="center"/>
    </xf>
    <xf numFmtId="176" fontId="17" fillId="2" borderId="24" xfId="2" applyNumberFormat="1" applyFont="1" applyFill="1" applyBorder="1" applyAlignment="1">
      <alignment horizontal="center" vertical="center"/>
    </xf>
    <xf numFmtId="177" fontId="14" fillId="0" borderId="0" xfId="1" applyNumberFormat="1" applyFont="1">
      <alignment vertical="center"/>
    </xf>
    <xf numFmtId="0" fontId="8" fillId="4" borderId="25" xfId="1" applyFont="1" applyFill="1" applyBorder="1" applyAlignment="1">
      <alignment horizontal="left" vertical="center"/>
    </xf>
    <xf numFmtId="0" fontId="8" fillId="4" borderId="25" xfId="1" applyFont="1" applyFill="1" applyBorder="1" applyAlignment="1">
      <alignment horizontal="center" vertical="center"/>
    </xf>
    <xf numFmtId="41" fontId="14" fillId="0" borderId="0" xfId="2" applyFont="1">
      <alignment vertical="center"/>
    </xf>
    <xf numFmtId="179" fontId="18" fillId="0" borderId="0" xfId="1" applyNumberFormat="1" applyFont="1" applyAlignment="1">
      <alignment vertical="center"/>
    </xf>
    <xf numFmtId="41" fontId="18" fillId="0" borderId="0" xfId="2" applyFont="1" applyAlignment="1">
      <alignment vertical="center"/>
    </xf>
    <xf numFmtId="180" fontId="14" fillId="0" borderId="0" xfId="2" applyNumberFormat="1" applyFont="1">
      <alignment vertical="center"/>
    </xf>
    <xf numFmtId="181" fontId="14" fillId="0" borderId="0" xfId="2" applyNumberFormat="1" applyFont="1">
      <alignment vertical="center"/>
    </xf>
    <xf numFmtId="41" fontId="14" fillId="0" borderId="0" xfId="2" applyFont="1" applyFill="1">
      <alignment vertical="center"/>
    </xf>
    <xf numFmtId="179" fontId="18" fillId="0" borderId="0" xfId="1" applyNumberFormat="1" applyFont="1" applyAlignment="1">
      <alignment horizontal="right" vertical="center"/>
    </xf>
    <xf numFmtId="0" fontId="14" fillId="0" borderId="0" xfId="1" applyFont="1" applyFill="1">
      <alignment vertical="center"/>
    </xf>
    <xf numFmtId="179" fontId="8" fillId="4" borderId="25" xfId="1" applyNumberFormat="1" applyFont="1" applyFill="1" applyBorder="1">
      <alignment vertical="center"/>
    </xf>
    <xf numFmtId="183" fontId="8" fillId="4" borderId="25" xfId="1" applyNumberFormat="1" applyFont="1" applyFill="1" applyBorder="1">
      <alignment vertical="center"/>
    </xf>
    <xf numFmtId="184" fontId="8" fillId="4" borderId="25" xfId="1" applyNumberFormat="1" applyFont="1" applyFill="1" applyBorder="1">
      <alignment vertical="center"/>
    </xf>
    <xf numFmtId="184" fontId="8" fillId="4" borderId="0" xfId="1" applyNumberFormat="1" applyFont="1" applyFill="1" applyBorder="1">
      <alignment vertical="center"/>
    </xf>
    <xf numFmtId="0" fontId="16" fillId="0" borderId="0" xfId="1" applyFont="1" applyAlignment="1">
      <alignment vertical="top"/>
    </xf>
    <xf numFmtId="0" fontId="8" fillId="4" borderId="16" xfId="1" applyFont="1" applyFill="1" applyBorder="1" applyAlignment="1">
      <alignment horizontal="center" vertical="center" wrapText="1"/>
    </xf>
    <xf numFmtId="0" fontId="8" fillId="4" borderId="16" xfId="1" applyFont="1" applyFill="1" applyBorder="1" applyAlignment="1">
      <alignment horizontal="center" vertical="center"/>
    </xf>
    <xf numFmtId="14" fontId="18" fillId="0" borderId="26" xfId="1" applyNumberFormat="1" applyFont="1" applyBorder="1" applyAlignment="1">
      <alignment horizontal="left" vertical="center"/>
    </xf>
    <xf numFmtId="178" fontId="18" fillId="0" borderId="6" xfId="1" applyNumberFormat="1" applyFont="1" applyBorder="1" applyAlignment="1">
      <alignment horizontal="left" vertical="center"/>
    </xf>
    <xf numFmtId="179" fontId="18" fillId="0" borderId="6" xfId="1" applyNumberFormat="1" applyFont="1" applyBorder="1" applyAlignment="1">
      <alignment horizontal="center" vertical="center"/>
    </xf>
    <xf numFmtId="41" fontId="18" fillId="0" borderId="6" xfId="2" applyFont="1" applyBorder="1" applyAlignment="1">
      <alignment vertical="center"/>
    </xf>
    <xf numFmtId="41" fontId="18" fillId="0" borderId="19" xfId="2" applyFont="1" applyBorder="1" applyAlignment="1">
      <alignment vertical="center"/>
    </xf>
    <xf numFmtId="41" fontId="14" fillId="0" borderId="19" xfId="2" applyFont="1" applyBorder="1">
      <alignment vertical="center"/>
    </xf>
    <xf numFmtId="14" fontId="18" fillId="0" borderId="30" xfId="1" applyNumberFormat="1" applyFont="1" applyBorder="1" applyAlignment="1">
      <alignment horizontal="left" vertical="center"/>
    </xf>
    <xf numFmtId="178" fontId="18" fillId="0" borderId="31" xfId="1" applyNumberFormat="1" applyFont="1" applyBorder="1" applyAlignment="1">
      <alignment horizontal="left" vertical="center"/>
    </xf>
    <xf numFmtId="179" fontId="18" fillId="0" borderId="31" xfId="1" applyNumberFormat="1" applyFont="1" applyBorder="1" applyAlignment="1">
      <alignment horizontal="center" vertical="center"/>
    </xf>
    <xf numFmtId="41" fontId="18" fillId="0" borderId="31" xfId="2" applyFont="1" applyBorder="1" applyAlignment="1">
      <alignment vertical="center"/>
    </xf>
    <xf numFmtId="41" fontId="18" fillId="0" borderId="32" xfId="2" applyFont="1" applyBorder="1" applyAlignment="1">
      <alignment vertical="center"/>
    </xf>
    <xf numFmtId="41" fontId="14" fillId="0" borderId="32" xfId="2" applyFont="1" applyBorder="1">
      <alignment vertical="center"/>
    </xf>
    <xf numFmtId="14" fontId="18" fillId="2" borderId="30" xfId="1" applyNumberFormat="1" applyFont="1" applyFill="1" applyBorder="1" applyAlignment="1">
      <alignment horizontal="left" vertical="center"/>
    </xf>
    <xf numFmtId="178" fontId="18" fillId="2" borderId="31" xfId="1" applyNumberFormat="1" applyFont="1" applyFill="1" applyBorder="1" applyAlignment="1">
      <alignment horizontal="left" vertical="center"/>
    </xf>
    <xf numFmtId="179" fontId="18" fillId="2" borderId="31" xfId="1" applyNumberFormat="1" applyFont="1" applyFill="1" applyBorder="1" applyAlignment="1">
      <alignment horizontal="center" vertical="center"/>
    </xf>
    <xf numFmtId="41" fontId="18" fillId="2" borderId="31" xfId="2" applyFont="1" applyFill="1" applyBorder="1" applyAlignment="1">
      <alignment vertical="center"/>
    </xf>
    <xf numFmtId="41" fontId="18" fillId="2" borderId="32" xfId="2" applyFont="1" applyFill="1" applyBorder="1" applyAlignment="1">
      <alignment vertical="center"/>
    </xf>
    <xf numFmtId="41" fontId="14" fillId="2" borderId="32" xfId="2" applyFont="1" applyFill="1" applyBorder="1">
      <alignment vertical="center"/>
    </xf>
    <xf numFmtId="14" fontId="18" fillId="0" borderId="33" xfId="1" applyNumberFormat="1" applyFont="1" applyBorder="1" applyAlignment="1">
      <alignment horizontal="left" vertical="center"/>
    </xf>
    <xf numFmtId="178" fontId="18" fillId="0" borderId="9" xfId="1" applyNumberFormat="1" applyFont="1" applyBorder="1" applyAlignment="1">
      <alignment horizontal="left" vertical="center"/>
    </xf>
    <xf numFmtId="179" fontId="18" fillId="0" borderId="9" xfId="1" applyNumberFormat="1" applyFont="1" applyBorder="1" applyAlignment="1">
      <alignment horizontal="center" vertical="center"/>
    </xf>
    <xf numFmtId="41" fontId="18" fillId="0" borderId="9" xfId="2" applyFont="1" applyBorder="1" applyAlignment="1">
      <alignment vertical="center"/>
    </xf>
    <xf numFmtId="41" fontId="18" fillId="0" borderId="20" xfId="2" applyFont="1" applyBorder="1" applyAlignment="1">
      <alignment vertical="center"/>
    </xf>
    <xf numFmtId="41" fontId="14" fillId="0" borderId="20" xfId="2" applyFont="1" applyBorder="1">
      <alignment vertical="center"/>
    </xf>
    <xf numFmtId="41" fontId="14" fillId="0" borderId="9" xfId="2" applyFont="1" applyBorder="1">
      <alignment vertical="center"/>
    </xf>
    <xf numFmtId="41" fontId="14" fillId="0" borderId="9" xfId="2" applyFont="1" applyBorder="1" applyAlignment="1">
      <alignment horizontal="center" vertical="center"/>
    </xf>
    <xf numFmtId="14" fontId="18" fillId="2" borderId="33" xfId="1" applyNumberFormat="1" applyFont="1" applyFill="1" applyBorder="1" applyAlignment="1">
      <alignment horizontal="left" vertical="center"/>
    </xf>
    <xf numFmtId="178" fontId="18" fillId="2" borderId="9" xfId="1" applyNumberFormat="1" applyFont="1" applyFill="1" applyBorder="1" applyAlignment="1">
      <alignment horizontal="left" vertical="center"/>
    </xf>
    <xf numFmtId="41" fontId="14" fillId="2" borderId="9" xfId="2" applyFont="1" applyFill="1" applyBorder="1" applyAlignment="1">
      <alignment horizontal="center" vertical="center"/>
    </xf>
    <xf numFmtId="41" fontId="18" fillId="2" borderId="9" xfId="2" applyFont="1" applyFill="1" applyBorder="1" applyAlignment="1">
      <alignment vertical="center"/>
    </xf>
    <xf numFmtId="41" fontId="14" fillId="2" borderId="9" xfId="2" applyFont="1" applyFill="1" applyBorder="1">
      <alignment vertical="center"/>
    </xf>
    <xf numFmtId="41" fontId="18" fillId="2" borderId="20" xfId="2" applyFont="1" applyFill="1" applyBorder="1" applyAlignment="1">
      <alignment vertical="center"/>
    </xf>
    <xf numFmtId="41" fontId="14" fillId="2" borderId="20" xfId="2" applyFont="1" applyFill="1" applyBorder="1">
      <alignment vertical="center"/>
    </xf>
    <xf numFmtId="14" fontId="18" fillId="0" borderId="33" xfId="1" applyNumberFormat="1" applyFont="1" applyFill="1" applyBorder="1" applyAlignment="1">
      <alignment horizontal="left" vertical="center"/>
    </xf>
    <xf numFmtId="178" fontId="18" fillId="0" borderId="9" xfId="1" applyNumberFormat="1" applyFont="1" applyFill="1" applyBorder="1" applyAlignment="1">
      <alignment horizontal="left" vertical="center"/>
    </xf>
    <xf numFmtId="41" fontId="14" fillId="0" borderId="9" xfId="2" applyFont="1" applyFill="1" applyBorder="1" applyAlignment="1">
      <alignment horizontal="center" vertical="center"/>
    </xf>
    <xf numFmtId="41" fontId="18" fillId="0" borderId="9" xfId="2" applyFont="1" applyFill="1" applyBorder="1" applyAlignment="1">
      <alignment vertical="center"/>
    </xf>
    <xf numFmtId="41" fontId="14" fillId="0" borderId="9" xfId="2" applyFont="1" applyFill="1" applyBorder="1">
      <alignment vertical="center"/>
    </xf>
    <xf numFmtId="41" fontId="18" fillId="0" borderId="31" xfId="2" applyFont="1" applyFill="1" applyBorder="1" applyAlignment="1">
      <alignment vertical="center"/>
    </xf>
    <xf numFmtId="41" fontId="18" fillId="0" borderId="32" xfId="2" applyFont="1" applyFill="1" applyBorder="1" applyAlignment="1">
      <alignment vertical="center"/>
    </xf>
    <xf numFmtId="41" fontId="18" fillId="0" borderId="20" xfId="2" applyFont="1" applyFill="1" applyBorder="1" applyAlignment="1">
      <alignment vertical="center"/>
    </xf>
    <xf numFmtId="41" fontId="14" fillId="0" borderId="20" xfId="2" applyFont="1" applyFill="1" applyBorder="1">
      <alignment vertical="center"/>
    </xf>
    <xf numFmtId="178" fontId="18" fillId="0" borderId="13" xfId="1" applyNumberFormat="1" applyFont="1" applyBorder="1" applyAlignment="1">
      <alignment horizontal="left" vertical="center"/>
    </xf>
    <xf numFmtId="41" fontId="14" fillId="0" borderId="13" xfId="2" applyFont="1" applyBorder="1" applyAlignment="1">
      <alignment horizontal="center" vertical="center"/>
    </xf>
    <xf numFmtId="41" fontId="18" fillId="0" borderId="13" xfId="2" applyFont="1" applyBorder="1" applyAlignment="1">
      <alignment vertical="center"/>
    </xf>
    <xf numFmtId="41" fontId="14" fillId="0" borderId="13" xfId="2" applyFont="1" applyBorder="1">
      <alignment vertical="center"/>
    </xf>
    <xf numFmtId="41" fontId="14" fillId="0" borderId="21" xfId="2" applyFont="1" applyBorder="1">
      <alignment vertical="center"/>
    </xf>
    <xf numFmtId="178" fontId="18" fillId="2" borderId="13" xfId="1" applyNumberFormat="1" applyFont="1" applyFill="1" applyBorder="1" applyAlignment="1">
      <alignment horizontal="left" vertical="center"/>
    </xf>
    <xf numFmtId="41" fontId="14" fillId="2" borderId="13" xfId="2" applyFont="1" applyFill="1" applyBorder="1" applyAlignment="1">
      <alignment horizontal="center" vertical="center"/>
    </xf>
    <xf numFmtId="41" fontId="18" fillId="2" borderId="13" xfId="2" applyFont="1" applyFill="1" applyBorder="1" applyAlignment="1">
      <alignment vertical="center"/>
    </xf>
    <xf numFmtId="41" fontId="14" fillId="2" borderId="13" xfId="2" applyFont="1" applyFill="1" applyBorder="1">
      <alignment vertical="center"/>
    </xf>
    <xf numFmtId="41" fontId="14" fillId="2" borderId="21" xfId="2" applyFont="1" applyFill="1" applyBorder="1">
      <alignment vertical="center"/>
    </xf>
    <xf numFmtId="14" fontId="18" fillId="0" borderId="34" xfId="1" applyNumberFormat="1" applyFont="1" applyFill="1" applyBorder="1" applyAlignment="1">
      <alignment horizontal="left" vertical="center"/>
    </xf>
    <xf numFmtId="178" fontId="18" fillId="0" borderId="13" xfId="1" applyNumberFormat="1" applyFont="1" applyFill="1" applyBorder="1" applyAlignment="1">
      <alignment horizontal="left" vertical="center"/>
    </xf>
    <xf numFmtId="41" fontId="14" fillId="0" borderId="13" xfId="2" applyFont="1" applyFill="1" applyBorder="1" applyAlignment="1">
      <alignment horizontal="center" vertical="center"/>
    </xf>
    <xf numFmtId="41" fontId="18" fillId="0" borderId="13" xfId="2" applyFont="1" applyFill="1" applyBorder="1" applyAlignment="1">
      <alignment vertical="center"/>
    </xf>
    <xf numFmtId="41" fontId="14" fillId="0" borderId="13" xfId="2" applyFont="1" applyFill="1" applyBorder="1">
      <alignment vertical="center"/>
    </xf>
    <xf numFmtId="41" fontId="14" fillId="0" borderId="21" xfId="2" applyFont="1" applyFill="1" applyBorder="1">
      <alignment vertical="center"/>
    </xf>
    <xf numFmtId="14" fontId="18" fillId="0" borderId="35" xfId="1" applyNumberFormat="1" applyFont="1" applyBorder="1" applyAlignment="1">
      <alignment horizontal="left" vertical="center"/>
    </xf>
    <xf numFmtId="178" fontId="18" fillId="0" borderId="36" xfId="1" applyNumberFormat="1" applyFont="1" applyBorder="1" applyAlignment="1">
      <alignment horizontal="left" vertical="center"/>
    </xf>
    <xf numFmtId="41" fontId="14" fillId="0" borderId="36" xfId="2" applyFont="1" applyBorder="1" applyAlignment="1">
      <alignment horizontal="center" vertical="center"/>
    </xf>
    <xf numFmtId="41" fontId="18" fillId="0" borderId="36" xfId="2" applyFont="1" applyBorder="1" applyAlignment="1">
      <alignment vertical="center"/>
    </xf>
    <xf numFmtId="182" fontId="14" fillId="0" borderId="36" xfId="2" applyNumberFormat="1" applyFont="1" applyBorder="1">
      <alignment vertical="center"/>
    </xf>
    <xf numFmtId="41" fontId="14" fillId="0" borderId="36" xfId="2" applyFont="1" applyBorder="1">
      <alignment vertical="center"/>
    </xf>
    <xf numFmtId="41" fontId="14" fillId="0" borderId="37" xfId="2" applyFont="1" applyBorder="1">
      <alignment vertical="center"/>
    </xf>
    <xf numFmtId="0" fontId="8" fillId="4" borderId="38" xfId="1" applyFont="1" applyFill="1" applyBorder="1" applyAlignment="1">
      <alignment horizontal="left" vertical="center"/>
    </xf>
    <xf numFmtId="0" fontId="8" fillId="4" borderId="39" xfId="1" applyFont="1" applyFill="1" applyBorder="1" applyAlignment="1">
      <alignment horizontal="left" vertical="center"/>
    </xf>
    <xf numFmtId="179" fontId="8" fillId="4" borderId="39" xfId="1" applyNumberFormat="1" applyFont="1" applyFill="1" applyBorder="1">
      <alignment vertical="center"/>
    </xf>
    <xf numFmtId="177" fontId="8" fillId="4" borderId="39" xfId="1" applyNumberFormat="1" applyFont="1" applyFill="1" applyBorder="1">
      <alignment vertical="center"/>
    </xf>
    <xf numFmtId="179" fontId="8" fillId="4" borderId="40" xfId="1" applyNumberFormat="1" applyFont="1" applyFill="1" applyBorder="1">
      <alignment vertical="center"/>
    </xf>
    <xf numFmtId="185" fontId="0" fillId="0" borderId="0" xfId="3" applyNumberFormat="1" applyFont="1">
      <alignment vertical="center"/>
    </xf>
    <xf numFmtId="185" fontId="0" fillId="0" borderId="0" xfId="3" applyNumberFormat="1" applyFont="1" applyAlignment="1">
      <alignment horizontal="center" vertical="center"/>
    </xf>
    <xf numFmtId="185" fontId="0" fillId="0" borderId="1" xfId="3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10" fillId="0" borderId="0" xfId="0" applyNumberFormat="1" applyFont="1">
      <alignment vertical="center"/>
    </xf>
    <xf numFmtId="186" fontId="0" fillId="0" borderId="1" xfId="3" applyNumberFormat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3" fillId="0" borderId="0" xfId="5">
      <alignment vertical="center"/>
    </xf>
    <xf numFmtId="41" fontId="0" fillId="0" borderId="0" xfId="6" applyFont="1">
      <alignment vertical="center"/>
    </xf>
    <xf numFmtId="184" fontId="18" fillId="0" borderId="0" xfId="1" applyNumberFormat="1" applyFont="1" applyAlignment="1">
      <alignment vertical="center"/>
    </xf>
    <xf numFmtId="184" fontId="14" fillId="0" borderId="0" xfId="2" applyNumberFormat="1" applyFont="1">
      <alignment vertical="center"/>
    </xf>
    <xf numFmtId="184" fontId="18" fillId="0" borderId="0" xfId="1" applyNumberFormat="1" applyFont="1" applyAlignment="1">
      <alignment horizontal="right" vertical="center"/>
    </xf>
    <xf numFmtId="0" fontId="15" fillId="2" borderId="23" xfId="1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0" fontId="15" fillId="2" borderId="24" xfId="1" applyFont="1" applyFill="1" applyBorder="1" applyAlignment="1">
      <alignment horizontal="center" vertical="center"/>
    </xf>
    <xf numFmtId="0" fontId="14" fillId="0" borderId="1" xfId="1" applyFont="1" applyBorder="1">
      <alignment vertical="center"/>
    </xf>
    <xf numFmtId="14" fontId="14" fillId="0" borderId="1" xfId="1" applyNumberFormat="1" applyFont="1" applyBorder="1">
      <alignment vertical="center"/>
    </xf>
    <xf numFmtId="41" fontId="14" fillId="0" borderId="1" xfId="3" applyFont="1" applyBorder="1">
      <alignment vertical="center"/>
    </xf>
    <xf numFmtId="0" fontId="14" fillId="0" borderId="1" xfId="3" applyNumberFormat="1" applyFont="1" applyBorder="1" applyAlignment="1">
      <alignment horizontal="center" vertical="center"/>
    </xf>
    <xf numFmtId="0" fontId="2" fillId="0" borderId="0" xfId="5" applyFont="1">
      <alignment vertical="center"/>
    </xf>
    <xf numFmtId="187" fontId="3" fillId="5" borderId="1" xfId="5" applyNumberFormat="1" applyFill="1" applyBorder="1">
      <alignment vertical="center"/>
    </xf>
    <xf numFmtId="187" fontId="3" fillId="0" borderId="1" xfId="5" applyNumberFormat="1" applyBorder="1">
      <alignment vertical="center"/>
    </xf>
    <xf numFmtId="187" fontId="3" fillId="3" borderId="1" xfId="5" applyNumberFormat="1" applyFill="1" applyBorder="1">
      <alignment vertical="center"/>
    </xf>
    <xf numFmtId="0" fontId="20" fillId="0" borderId="0" xfId="5" applyFont="1" applyAlignment="1">
      <alignment horizontal="left" vertical="center"/>
    </xf>
    <xf numFmtId="0" fontId="14" fillId="2" borderId="1" xfId="1" applyFont="1" applyFill="1" applyBorder="1">
      <alignment vertical="center"/>
    </xf>
    <xf numFmtId="14" fontId="14" fillId="2" borderId="1" xfId="1" applyNumberFormat="1" applyFont="1" applyFill="1" applyBorder="1">
      <alignment vertical="center"/>
    </xf>
    <xf numFmtId="41" fontId="14" fillId="2" borderId="1" xfId="3" applyFont="1" applyFill="1" applyBorder="1">
      <alignment vertical="center"/>
    </xf>
    <xf numFmtId="0" fontId="14" fillId="2" borderId="1" xfId="1" applyFont="1" applyFill="1" applyBorder="1" applyAlignment="1">
      <alignment horizontal="center" vertical="center"/>
    </xf>
    <xf numFmtId="186" fontId="0" fillId="0" borderId="0" xfId="0" applyNumberFormat="1">
      <alignment vertical="center"/>
    </xf>
    <xf numFmtId="189" fontId="5" fillId="0" borderId="0" xfId="1" applyNumberFormat="1" applyFont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6" fillId="0" borderId="0" xfId="1" applyFont="1" applyAlignment="1">
      <alignment vertical="top"/>
    </xf>
    <xf numFmtId="0" fontId="8" fillId="4" borderId="27" xfId="1" applyFont="1" applyFill="1" applyBorder="1" applyAlignment="1">
      <alignment horizontal="center" vertical="center" wrapText="1"/>
    </xf>
    <xf numFmtId="0" fontId="8" fillId="4" borderId="27" xfId="1" applyFont="1" applyFill="1" applyBorder="1" applyAlignment="1">
      <alignment horizontal="center" vertical="center"/>
    </xf>
    <xf numFmtId="0" fontId="8" fillId="4" borderId="2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 wrapText="1"/>
    </xf>
    <xf numFmtId="0" fontId="8" fillId="4" borderId="22" xfId="1" applyFont="1" applyFill="1" applyBorder="1" applyAlignment="1">
      <alignment horizontal="center" vertical="center" wrapText="1"/>
    </xf>
    <xf numFmtId="0" fontId="8" fillId="4" borderId="26" xfId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0" fontId="8" fillId="4" borderId="16" xfId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 wrapText="1"/>
    </xf>
    <xf numFmtId="0" fontId="8" fillId="4" borderId="16" xfId="1" applyFont="1" applyFill="1" applyBorder="1" applyAlignment="1">
      <alignment horizontal="center" vertical="center" wrapText="1"/>
    </xf>
    <xf numFmtId="0" fontId="2" fillId="0" borderId="1" xfId="5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1" applyFont="1" applyAlignment="1">
      <alignment horizontal="center" vertical="center"/>
    </xf>
    <xf numFmtId="190" fontId="5" fillId="0" borderId="0" xfId="1" applyNumberFormat="1" applyFont="1">
      <alignment vertical="center"/>
    </xf>
    <xf numFmtId="41" fontId="5" fillId="3" borderId="13" xfId="2" applyFont="1" applyFill="1" applyBorder="1">
      <alignment vertical="center"/>
    </xf>
    <xf numFmtId="41" fontId="5" fillId="3" borderId="21" xfId="2" applyFont="1" applyFill="1" applyBorder="1">
      <alignment vertical="center"/>
    </xf>
    <xf numFmtId="41" fontId="5" fillId="3" borderId="12" xfId="2" applyFont="1" applyFill="1" applyBorder="1">
      <alignment vertical="center"/>
    </xf>
    <xf numFmtId="41" fontId="5" fillId="3" borderId="14" xfId="2" applyFont="1" applyFill="1" applyBorder="1">
      <alignment vertical="center"/>
    </xf>
    <xf numFmtId="41" fontId="0" fillId="7" borderId="1" xfId="3" applyFont="1" applyFill="1" applyBorder="1">
      <alignment vertical="center"/>
    </xf>
    <xf numFmtId="22" fontId="18" fillId="0" borderId="26" xfId="1" applyNumberFormat="1" applyFont="1" applyBorder="1" applyAlignment="1">
      <alignment horizontal="left" vertical="center"/>
    </xf>
    <xf numFmtId="178" fontId="18" fillId="0" borderId="6" xfId="2" applyNumberFormat="1" applyFont="1" applyBorder="1" applyAlignment="1">
      <alignment vertical="center"/>
    </xf>
    <xf numFmtId="41" fontId="21" fillId="0" borderId="6" xfId="3" applyFont="1" applyBorder="1" applyAlignment="1">
      <alignment vertical="center"/>
    </xf>
    <xf numFmtId="14" fontId="18" fillId="0" borderId="30" xfId="1" applyNumberFormat="1" applyFont="1" applyFill="1" applyBorder="1" applyAlignment="1">
      <alignment horizontal="left" vertical="center"/>
    </xf>
    <xf numFmtId="178" fontId="18" fillId="0" borderId="31" xfId="1" applyNumberFormat="1" applyFont="1" applyFill="1" applyBorder="1" applyAlignment="1">
      <alignment horizontal="left" vertical="center"/>
    </xf>
    <xf numFmtId="179" fontId="18" fillId="0" borderId="31" xfId="1" applyNumberFormat="1" applyFont="1" applyFill="1" applyBorder="1" applyAlignment="1">
      <alignment horizontal="center" vertical="center"/>
    </xf>
    <xf numFmtId="41" fontId="14" fillId="0" borderId="32" xfId="2" applyFont="1" applyFill="1" applyBorder="1">
      <alignment vertical="center"/>
    </xf>
    <xf numFmtId="0" fontId="0" fillId="0" borderId="0" xfId="0" applyFill="1">
      <alignment vertical="center"/>
    </xf>
    <xf numFmtId="179" fontId="18" fillId="0" borderId="9" xfId="1" applyNumberFormat="1" applyFont="1" applyFill="1" applyBorder="1" applyAlignment="1">
      <alignment horizontal="center" vertical="center"/>
    </xf>
    <xf numFmtId="41" fontId="0" fillId="0" borderId="0" xfId="0" applyNumberFormat="1" applyFill="1">
      <alignment vertical="center"/>
    </xf>
    <xf numFmtId="41" fontId="0" fillId="3" borderId="1" xfId="3" applyFont="1" applyFill="1" applyBorder="1">
      <alignment vertical="center"/>
    </xf>
    <xf numFmtId="0" fontId="0" fillId="0" borderId="0" xfId="0" pivotButton="1">
      <alignment vertical="center"/>
    </xf>
    <xf numFmtId="41" fontId="0" fillId="0" borderId="0" xfId="0" applyNumberFormat="1" applyAlignment="1">
      <alignment horizontal="left" vertical="center"/>
    </xf>
    <xf numFmtId="41" fontId="0" fillId="8" borderId="1" xfId="3" applyFont="1" applyFill="1" applyBorder="1">
      <alignment vertical="center"/>
    </xf>
    <xf numFmtId="41" fontId="0" fillId="0" borderId="1" xfId="3" applyFont="1" applyFill="1" applyBorder="1">
      <alignment vertical="center"/>
    </xf>
    <xf numFmtId="14" fontId="18" fillId="0" borderId="0" xfId="1" applyNumberFormat="1" applyFont="1" applyAlignment="1">
      <alignment horizontal="center" vertical="center"/>
    </xf>
    <xf numFmtId="0" fontId="8" fillId="4" borderId="25" xfId="1" applyFont="1" applyFill="1" applyBorder="1" applyAlignment="1">
      <alignment horizontal="center" vertical="center" wrapText="1"/>
    </xf>
    <xf numFmtId="41" fontId="14" fillId="0" borderId="0" xfId="3" applyFont="1" applyFill="1">
      <alignment vertical="center"/>
    </xf>
    <xf numFmtId="0" fontId="0" fillId="0" borderId="0" xfId="0" applyNumberFormat="1" applyAlignment="1">
      <alignment horizontal="center" vertical="center"/>
    </xf>
    <xf numFmtId="41" fontId="8" fillId="4" borderId="29" xfId="3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/>
    </xf>
    <xf numFmtId="0" fontId="2" fillId="9" borderId="1" xfId="5" applyFont="1" applyFill="1" applyBorder="1" applyAlignment="1">
      <alignment horizontal="center" vertical="center"/>
    </xf>
    <xf numFmtId="187" fontId="3" fillId="9" borderId="1" xfId="5" applyNumberFormat="1" applyFill="1" applyBorder="1">
      <alignment vertical="center"/>
    </xf>
    <xf numFmtId="186" fontId="0" fillId="10" borderId="1" xfId="3" applyNumberFormat="1" applyFont="1" applyFill="1" applyBorder="1">
      <alignment vertical="center"/>
    </xf>
    <xf numFmtId="2" fontId="0" fillId="0" borderId="0" xfId="0" applyNumberFormat="1">
      <alignment vertical="center"/>
    </xf>
    <xf numFmtId="41" fontId="0" fillId="11" borderId="1" xfId="3" applyFont="1" applyFill="1" applyBorder="1">
      <alignment vertical="center"/>
    </xf>
    <xf numFmtId="41" fontId="14" fillId="0" borderId="0" xfId="3" applyFont="1">
      <alignment vertical="center"/>
    </xf>
    <xf numFmtId="188" fontId="5" fillId="0" borderId="1" xfId="1" applyNumberFormat="1" applyFont="1" applyBorder="1" applyAlignment="1">
      <alignment horizontal="center" vertical="center"/>
    </xf>
    <xf numFmtId="191" fontId="5" fillId="0" borderId="1" xfId="1" applyNumberFormat="1" applyFont="1" applyBorder="1" applyAlignment="1">
      <alignment horizontal="center" vertical="center"/>
    </xf>
    <xf numFmtId="0" fontId="5" fillId="0" borderId="1" xfId="1" applyFont="1" applyFill="1" applyBorder="1">
      <alignment vertical="center"/>
    </xf>
    <xf numFmtId="188" fontId="5" fillId="0" borderId="1" xfId="1" applyNumberFormat="1" applyFont="1" applyFill="1" applyBorder="1" applyAlignment="1">
      <alignment horizontal="center" vertical="center"/>
    </xf>
    <xf numFmtId="191" fontId="5" fillId="0" borderId="1" xfId="1" applyNumberFormat="1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5" fillId="10" borderId="13" xfId="2" applyFont="1" applyFill="1" applyBorder="1">
      <alignment vertical="center"/>
    </xf>
    <xf numFmtId="41" fontId="5" fillId="10" borderId="21" xfId="2" applyFont="1" applyFill="1" applyBorder="1">
      <alignment vertical="center"/>
    </xf>
    <xf numFmtId="41" fontId="5" fillId="10" borderId="12" xfId="2" applyFont="1" applyFill="1" applyBorder="1">
      <alignment vertical="center"/>
    </xf>
    <xf numFmtId="41" fontId="5" fillId="10" borderId="14" xfId="2" applyFont="1" applyFill="1" applyBorder="1">
      <alignment vertical="center"/>
    </xf>
    <xf numFmtId="0" fontId="5" fillId="10" borderId="0" xfId="1" applyFont="1" applyFill="1">
      <alignment vertical="center"/>
    </xf>
    <xf numFmtId="41" fontId="5" fillId="10" borderId="0" xfId="2" applyFont="1" applyFill="1" applyBorder="1">
      <alignment vertical="center"/>
    </xf>
    <xf numFmtId="0" fontId="1" fillId="0" borderId="1" xfId="5" applyFont="1" applyBorder="1" applyAlignment="1">
      <alignment horizontal="center" vertical="center"/>
    </xf>
    <xf numFmtId="0" fontId="23" fillId="0" borderId="1" xfId="5" applyFont="1" applyBorder="1" applyAlignment="1">
      <alignment horizontal="center" vertical="center"/>
    </xf>
    <xf numFmtId="0" fontId="20" fillId="0" borderId="1" xfId="5" applyFont="1" applyBorder="1" applyAlignment="1">
      <alignment horizontal="center" vertical="center"/>
    </xf>
    <xf numFmtId="14" fontId="14" fillId="0" borderId="1" xfId="1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12" borderId="1" xfId="3" applyFont="1" applyFill="1" applyBorder="1">
      <alignment vertical="center"/>
    </xf>
    <xf numFmtId="0" fontId="16" fillId="0" borderId="0" xfId="1" applyFont="1" applyAlignment="1">
      <alignment horizontal="center" vertical="top"/>
    </xf>
  </cellXfs>
  <cellStyles count="7">
    <cellStyle name="백분율 2" xfId="4"/>
    <cellStyle name="쉼표 [0]" xfId="3" builtinId="6"/>
    <cellStyle name="쉼표 [0] 2" xfId="2"/>
    <cellStyle name="쉼표 [0] 3" xfId="6"/>
    <cellStyle name="표준" xfId="0" builtinId="0"/>
    <cellStyle name="표준 2" xfId="1"/>
    <cellStyle name="표준 3" xfId="5"/>
  </cellStyles>
  <dxfs count="9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theme="9" tint="0.59996337778862885"/>
        </patternFill>
      </fill>
    </dxf>
    <dxf>
      <alignment horizontal="center" readingOrder="0"/>
    </dxf>
    <dxf>
      <numFmt numFmtId="33" formatCode="_-* #,##0_-;\-* #,##0_-;_-* &quot;-&quot;_-;_-@_-"/>
    </dxf>
    <dxf>
      <alignment horizontal="center" readingOrder="0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66675</xdr:rowOff>
        </xdr:from>
        <xdr:to>
          <xdr:col>7</xdr:col>
          <xdr:colOff>1247775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이전 정보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mkoo" refreshedDate="45121.918030555556" createdVersion="4" refreshedVersion="4" minRefreshableVersion="3" recordCount="43">
  <cacheSource type="worksheet">
    <worksheetSource ref="M31:U76" sheet="월"/>
  </cacheSource>
  <cacheFields count="9">
    <cacheField name="날짜" numFmtId="178">
      <sharedItems containsSemiMixedTypes="0" containsNonDate="0" containsDate="1" containsString="0" minDate="2019-12-31T00:00:00" maxDate="2023-08-01T00:00:00"/>
    </cacheField>
    <cacheField name="국민카드" numFmtId="41">
      <sharedItems containsSemiMixedTypes="0" containsString="0" containsNumber="1" containsInteger="1" minValue="106539" maxValue="336603"/>
    </cacheField>
    <cacheField name="롯데카드" numFmtId="41">
      <sharedItems containsSemiMixedTypes="0" containsString="0" containsNumber="1" containsInteger="1" minValue="135500" maxValue="1594862"/>
    </cacheField>
    <cacheField name="비씨카드" numFmtId="41">
      <sharedItems containsSemiMixedTypes="0" containsString="0" containsNumber="1" containsInteger="1" minValue="0" maxValue="911580"/>
    </cacheField>
    <cacheField name="신한카드" numFmtId="41">
      <sharedItems containsSemiMixedTypes="0" containsString="0" containsNumber="1" containsInteger="1" minValue="21200" maxValue="1653390"/>
    </cacheField>
    <cacheField name="우리타드" numFmtId="41">
      <sharedItems containsSemiMixedTypes="0" containsString="0" containsNumber="1" containsInteger="1" minValue="0" maxValue="1602216"/>
    </cacheField>
    <cacheField name="하나카드" numFmtId="41">
      <sharedItems containsString="0" containsBlank="1" containsNumber="1" containsInteger="1" minValue="0" maxValue="384456"/>
    </cacheField>
    <cacheField name="합계" numFmtId="41">
      <sharedItems containsSemiMixedTypes="0" containsString="0" containsNumber="1" containsInteger="1" minValue="623444" maxValue="3255436"/>
    </cacheField>
    <cacheField name="년도" numFmtId="41">
      <sharedItems containsSemiMixedTypes="0" containsString="0" containsNumber="1" containsInteger="1" minValue="2019" maxValue="2023" count="5">
        <n v="2023"/>
        <n v="2022"/>
        <n v="2021"/>
        <n v="2020"/>
        <n v="20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d v="2023-07-31T00:00:00"/>
    <n v="107378"/>
    <n v="286309"/>
    <n v="220180"/>
    <n v="318610"/>
    <n v="144390"/>
    <n v="0"/>
    <n v="1076867"/>
    <x v="0"/>
  </r>
  <r>
    <d v="2023-06-30T00:00:00"/>
    <n v="106539"/>
    <n v="188078"/>
    <n v="911580"/>
    <n v="610780"/>
    <n v="0"/>
    <n v="0"/>
    <n v="1816977"/>
    <x v="0"/>
  </r>
  <r>
    <d v="2023-05-31T00:00:00"/>
    <n v="107470"/>
    <n v="180785"/>
    <n v="778600"/>
    <n v="537660"/>
    <n v="648444"/>
    <n v="0"/>
    <n v="2252959"/>
    <x v="0"/>
  </r>
  <r>
    <d v="2023-04-30T00:00:00"/>
    <n v="107524"/>
    <n v="621393"/>
    <n v="222400"/>
    <n v="309040"/>
    <n v="671581"/>
    <n v="0"/>
    <n v="1931938"/>
    <x v="0"/>
  </r>
  <r>
    <d v="2023-03-31T00:00:00"/>
    <n v="126544"/>
    <n v="1594862"/>
    <n v="348700"/>
    <n v="126580"/>
    <n v="273777"/>
    <m/>
    <n v="2470463"/>
    <x v="0"/>
  </r>
  <r>
    <d v="2023-02-28T00:00:00"/>
    <n v="107619"/>
    <n v="616589"/>
    <n v="317200"/>
    <n v="365360"/>
    <n v="1282572"/>
    <m/>
    <n v="2323980"/>
    <x v="0"/>
  </r>
  <r>
    <d v="2023-01-31T00:00:00"/>
    <n v="123356"/>
    <n v="561761"/>
    <n v="347794"/>
    <n v="1653390"/>
    <n v="3873"/>
    <m/>
    <n v="2690174"/>
    <x v="0"/>
  </r>
  <r>
    <d v="2022-12-31T00:00:00"/>
    <n v="107700"/>
    <n v="523450"/>
    <n v="789500"/>
    <n v="232570"/>
    <n v="1602216"/>
    <m/>
    <n v="3255436"/>
    <x v="1"/>
  </r>
  <r>
    <d v="2022-11-30T00:00:00"/>
    <n v="107761"/>
    <n v="658130"/>
    <n v="386300"/>
    <n v="138975"/>
    <n v="85103"/>
    <m/>
    <n v="1376269"/>
    <x v="1"/>
  </r>
  <r>
    <d v="2022-10-31T00:00:00"/>
    <n v="107792"/>
    <n v="270578"/>
    <n v="0"/>
    <n v="208010"/>
    <n v="82381"/>
    <m/>
    <n v="668761"/>
    <x v="1"/>
  </r>
  <r>
    <d v="2022-09-30T00:00:00"/>
    <n v="107856"/>
    <n v="219916"/>
    <n v="135000"/>
    <n v="106850"/>
    <n v="53822"/>
    <m/>
    <n v="623444"/>
    <x v="1"/>
  </r>
  <r>
    <d v="2022-08-31T00:00:00"/>
    <n v="107930"/>
    <n v="316758"/>
    <n v="440790"/>
    <n v="148900"/>
    <n v="100293"/>
    <m/>
    <n v="1114671"/>
    <x v="1"/>
  </r>
  <r>
    <d v="2022-07-31T00:00:00"/>
    <n v="107930"/>
    <n v="135500"/>
    <n v="39443"/>
    <n v="91160"/>
    <n v="324209"/>
    <m/>
    <n v="698242"/>
    <x v="1"/>
  </r>
  <r>
    <d v="2022-06-30T00:00:00"/>
    <n v="179388"/>
    <n v="192320"/>
    <n v="129443"/>
    <n v="237310"/>
    <n v="161255"/>
    <m/>
    <n v="899716"/>
    <x v="1"/>
  </r>
  <r>
    <d v="2022-05-31T00:00:00"/>
    <n v="215381"/>
    <n v="192500"/>
    <n v="169443"/>
    <n v="307090"/>
    <n v="80543"/>
    <m/>
    <n v="964957"/>
    <x v="1"/>
  </r>
  <r>
    <d v="2022-04-30T00:00:00"/>
    <n v="212173"/>
    <n v="491300"/>
    <n v="209443"/>
    <n v="277280"/>
    <n v="9136"/>
    <n v="0"/>
    <n v="1199332"/>
    <x v="1"/>
  </r>
  <r>
    <d v="2022-03-31T00:00:00"/>
    <n v="231138"/>
    <n v="491300"/>
    <n v="387943"/>
    <n v="404490"/>
    <n v="132470"/>
    <n v="0"/>
    <n v="1647341"/>
    <x v="1"/>
  </r>
  <r>
    <d v="2022-02-28T00:00:00"/>
    <n v="211428"/>
    <n v="551220"/>
    <n v="264232"/>
    <n v="632300"/>
    <n v="275068"/>
    <n v="0"/>
    <n v="1934248"/>
    <x v="1"/>
  </r>
  <r>
    <d v="2022-01-31T00:00:00"/>
    <n v="213821"/>
    <n v="516600"/>
    <n v="495497"/>
    <n v="567410"/>
    <n v="435449"/>
    <n v="0"/>
    <n v="2228777"/>
    <x v="1"/>
  </r>
  <r>
    <d v="2021-12-31T00:00:00"/>
    <n v="213821"/>
    <n v="513100"/>
    <n v="298504"/>
    <n v="545450"/>
    <n v="403468"/>
    <n v="0"/>
    <n v="1974343"/>
    <x v="2"/>
  </r>
  <r>
    <d v="2021-11-30T00:00:00"/>
    <n v="211521"/>
    <n v="514100"/>
    <n v="477921"/>
    <n v="558000"/>
    <n v="91172"/>
    <n v="0"/>
    <n v="1852714"/>
    <x v="2"/>
  </r>
  <r>
    <d v="2021-10-31T00:00:00"/>
    <n v="211616"/>
    <n v="179620"/>
    <n v="41519"/>
    <n v="633480"/>
    <n v="152732"/>
    <n v="0"/>
    <n v="1218967"/>
    <x v="2"/>
  </r>
  <r>
    <d v="2021-09-30T00:00:00"/>
    <n v="211616"/>
    <n v="135800"/>
    <n v="128400"/>
    <n v="466980"/>
    <n v="155512"/>
    <n v="0"/>
    <n v="1098308"/>
    <x v="2"/>
  </r>
  <r>
    <d v="2021-08-31T00:00:00"/>
    <n v="215593"/>
    <n v="138500"/>
    <n v="173800"/>
    <n v="511070"/>
    <n v="3426"/>
    <n v="0"/>
    <n v="1042389"/>
    <x v="2"/>
  </r>
  <r>
    <d v="2021-07-31T00:00:00"/>
    <n v="325830"/>
    <n v="156350"/>
    <n v="70000"/>
    <n v="574650"/>
    <n v="354915"/>
    <n v="0"/>
    <n v="1481745"/>
    <x v="2"/>
  </r>
  <r>
    <d v="2021-06-30T00:00:00"/>
    <n v="293397"/>
    <n v="162800"/>
    <n v="218534"/>
    <n v="257660"/>
    <n v="149798"/>
    <n v="0"/>
    <n v="1082189"/>
    <x v="2"/>
  </r>
  <r>
    <d v="2021-05-31T00:00:00"/>
    <n v="293252"/>
    <n v="228100"/>
    <n v="403816"/>
    <n v="379800"/>
    <n v="6852"/>
    <n v="0"/>
    <n v="1311820"/>
    <x v="2"/>
  </r>
  <r>
    <d v="2021-04-30T00:00:00"/>
    <n v="289542"/>
    <n v="267300"/>
    <n v="400697"/>
    <n v="203800"/>
    <n v="176984"/>
    <n v="0"/>
    <n v="1338323"/>
    <x v="2"/>
  </r>
  <r>
    <d v="2021-03-31T00:00:00"/>
    <n v="299420"/>
    <n v="150800"/>
    <n v="343381"/>
    <n v="336100"/>
    <n v="672474"/>
    <n v="0"/>
    <n v="1802175"/>
    <x v="2"/>
  </r>
  <r>
    <d v="2021-02-28T00:00:00"/>
    <n v="336603"/>
    <n v="432260"/>
    <n v="264819"/>
    <n v="182440"/>
    <n v="54523"/>
    <n v="0"/>
    <n v="1331225"/>
    <x v="2"/>
  </r>
  <r>
    <d v="2021-01-31T00:00:00"/>
    <n v="188200"/>
    <n v="141250"/>
    <n v="321184"/>
    <n v="199200"/>
    <n v="133608"/>
    <n v="0"/>
    <n v="983442"/>
    <x v="2"/>
  </r>
  <r>
    <d v="2020-12-31T00:00:00"/>
    <n v="151700"/>
    <n v="374850"/>
    <n v="179535"/>
    <n v="466370"/>
    <n v="269190"/>
    <n v="0"/>
    <n v="1441645"/>
    <x v="3"/>
  </r>
  <r>
    <d v="2020-11-30T00:00:00"/>
    <n v="181641"/>
    <n v="420600"/>
    <n v="177085"/>
    <n v="231090"/>
    <n v="105762"/>
    <n v="0"/>
    <n v="1054878"/>
    <x v="3"/>
  </r>
  <r>
    <d v="2020-10-31T00:00:00"/>
    <n v="211141"/>
    <n v="485360"/>
    <n v="172585"/>
    <n v="21200"/>
    <n v="135837"/>
    <n v="0"/>
    <n v="1026123"/>
    <x v="3"/>
  </r>
  <r>
    <d v="2020-09-30T00:00:00"/>
    <n v="321841"/>
    <n v="216740"/>
    <n v="387065"/>
    <n v="103760"/>
    <n v="53000"/>
    <n v="0"/>
    <n v="1082406"/>
    <x v="3"/>
  </r>
  <r>
    <d v="2020-08-31T00:00:00"/>
    <n v="264741"/>
    <n v="135800"/>
    <n v="342650"/>
    <n v="248570"/>
    <n v="253846"/>
    <n v="45190"/>
    <n v="1290797"/>
    <x v="3"/>
  </r>
  <r>
    <d v="2020-07-31T00:00:00"/>
    <n v="161591"/>
    <n v="526880"/>
    <n v="271150"/>
    <n v="87810"/>
    <n v="196218"/>
    <n v="205134"/>
    <n v="1448783"/>
    <x v="3"/>
  </r>
  <r>
    <d v="2020-06-30T00:00:00"/>
    <n v="263095"/>
    <n v="305380"/>
    <n v="232250"/>
    <n v="80000"/>
    <n v="5115"/>
    <n v="151745"/>
    <n v="1037585"/>
    <x v="3"/>
  </r>
  <r>
    <d v="2020-05-31T00:00:00"/>
    <n v="138350"/>
    <n v="233800"/>
    <n v="152680"/>
    <n v="177590"/>
    <n v="278946"/>
    <n v="384456"/>
    <n v="1365822"/>
    <x v="3"/>
  </r>
  <r>
    <d v="2020-03-31T00:00:00"/>
    <n v="333480"/>
    <n v="297996"/>
    <n v="629320"/>
    <n v="166580"/>
    <n v="193635"/>
    <n v="55771"/>
    <n v="1676782"/>
    <x v="3"/>
  </r>
  <r>
    <d v="2020-02-29T00:00:00"/>
    <n v="163930"/>
    <n v="373133"/>
    <n v="494830"/>
    <n v="282140"/>
    <n v="117174"/>
    <n v="54760"/>
    <n v="1485967"/>
    <x v="3"/>
  </r>
  <r>
    <d v="2020-01-31T00:00:00"/>
    <n v="179503"/>
    <n v="237819"/>
    <n v="568670"/>
    <n v="63500"/>
    <n v="274298"/>
    <n v="92950"/>
    <n v="1416740"/>
    <x v="3"/>
  </r>
  <r>
    <d v="2019-12-31T00:00:00"/>
    <n v="196327"/>
    <n v="508519"/>
    <n v="226240"/>
    <n v="231240"/>
    <n v="333327"/>
    <n v="16270"/>
    <n v="151192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4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M6:T12" firstHeaderRow="0" firstDataRow="1" firstDataCol="1"/>
  <pivotFields count="9">
    <pivotField numFmtId="178" showAll="0"/>
    <pivotField dataField="1" numFmtId="41" showAll="0"/>
    <pivotField dataField="1" numFmtId="41" showAll="0"/>
    <pivotField dataField="1" numFmtId="41" showAll="0"/>
    <pivotField dataField="1" numFmtId="41" showAll="0"/>
    <pivotField dataField="1" numFmtId="41" showAll="0"/>
    <pivotField dataField="1" numFmtId="41" showAll="0"/>
    <pivotField dataField="1" numFmtId="41" showAll="0"/>
    <pivotField axis="axisRow" numFmtId="41" showAll="0">
      <items count="6">
        <item x="4"/>
        <item x="3"/>
        <item x="2"/>
        <item x="1"/>
        <item x="0"/>
        <item t="default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국민카드T" fld="1" baseField="8" baseItem="0"/>
    <dataField name="롯데카드T" fld="2" baseField="8" baseItem="0"/>
    <dataField name="비씨카드T" fld="3" baseField="8" baseItem="0"/>
    <dataField name="신한카드T" fld="4" baseField="8" baseItem="0"/>
    <dataField name="우리타드T" fld="5" baseField="8" baseItem="0"/>
    <dataField name="하나카드T" fld="6" baseField="8" baseItem="0"/>
    <dataField name="합계T" fld="7" baseField="8" baseItem="0"/>
  </dataFields>
  <formats count="4">
    <format dxfId="8">
      <pivotArea dataOnly="0" labelOnly="1" fieldPosition="0">
        <references count="1">
          <reference field="8" count="0"/>
        </references>
      </pivotArea>
    </format>
    <format dxfId="7">
      <pivotArea dataOnly="0" labelOnly="1" fieldPosition="0">
        <references count="1">
          <reference field="8" count="0"/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77"/>
  <sheetViews>
    <sheetView workbookViewId="0">
      <selection activeCell="H5" sqref="H5"/>
    </sheetView>
  </sheetViews>
  <sheetFormatPr defaultRowHeight="13.5"/>
  <cols>
    <col min="1" max="1" width="6.28515625" bestFit="1" customWidth="1"/>
    <col min="2" max="2" width="12.140625" customWidth="1"/>
    <col min="3" max="3" width="12.28515625" bestFit="1" customWidth="1"/>
    <col min="4" max="4" width="12.42578125" bestFit="1" customWidth="1"/>
    <col min="7" max="7" width="12.28515625" bestFit="1" customWidth="1"/>
    <col min="8" max="11" width="11.140625" bestFit="1" customWidth="1"/>
    <col min="12" max="12" width="4.85546875" customWidth="1"/>
    <col min="13" max="13" width="12.140625" customWidth="1"/>
    <col min="14" max="14" width="12.28515625" customWidth="1"/>
    <col min="15" max="18" width="13.5703125" customWidth="1"/>
    <col min="19" max="19" width="12.28515625" customWidth="1"/>
    <col min="20" max="20" width="13.5703125" bestFit="1" customWidth="1"/>
  </cols>
  <sheetData>
    <row r="2" spans="1:21">
      <c r="B2" s="175" t="str">
        <f ca="1">TEXT(D2,"yyyy-mm")</f>
        <v>2023-08</v>
      </c>
      <c r="D2" s="226">
        <f ca="1">NOW()</f>
        <v>45158.370440046296</v>
      </c>
      <c r="M2" s="37"/>
      <c r="N2" s="35" t="s">
        <v>309</v>
      </c>
      <c r="O2" s="35" t="s">
        <v>309</v>
      </c>
      <c r="P2" s="35" t="s">
        <v>309</v>
      </c>
      <c r="Q2" s="35" t="s">
        <v>309</v>
      </c>
      <c r="R2" s="35" t="s">
        <v>309</v>
      </c>
      <c r="S2" s="35" t="s">
        <v>309</v>
      </c>
      <c r="T2" s="37"/>
    </row>
    <row r="3" spans="1:21">
      <c r="A3" s="132" t="s">
        <v>146</v>
      </c>
      <c r="B3" s="132" t="s">
        <v>150</v>
      </c>
      <c r="C3" s="132" t="s">
        <v>6</v>
      </c>
      <c r="D3" s="132" t="s">
        <v>76</v>
      </c>
      <c r="F3" s="132" t="s">
        <v>156</v>
      </c>
      <c r="G3" s="132" t="s">
        <v>154</v>
      </c>
      <c r="H3" s="132" t="s">
        <v>163</v>
      </c>
      <c r="I3" s="132" t="s">
        <v>153</v>
      </c>
      <c r="J3" s="132" t="s">
        <v>155</v>
      </c>
      <c r="M3" s="37"/>
      <c r="N3" s="132" t="s">
        <v>308</v>
      </c>
      <c r="O3" s="132" t="s">
        <v>310</v>
      </c>
      <c r="P3" s="132" t="s">
        <v>311</v>
      </c>
      <c r="Q3" s="132" t="s">
        <v>312</v>
      </c>
      <c r="R3" s="132" t="s">
        <v>313</v>
      </c>
      <c r="S3" s="132"/>
      <c r="T3" s="132" t="s">
        <v>314</v>
      </c>
    </row>
    <row r="4" spans="1:21">
      <c r="A4" s="131">
        <v>1</v>
      </c>
      <c r="B4" s="37" t="s">
        <v>157</v>
      </c>
      <c r="C4" s="182"/>
      <c r="D4" s="37" t="s">
        <v>152</v>
      </c>
      <c r="F4" s="37" t="s">
        <v>147</v>
      </c>
      <c r="G4" s="36">
        <v>5433800</v>
      </c>
      <c r="H4" s="36">
        <f ca="1">-H12</f>
        <v>-987700</v>
      </c>
      <c r="I4" s="208">
        <f t="shared" ref="I4:I11" si="0">SUMIFS($C$4:$C$18,$D$4:$D$18,$F$4:$F$11)</f>
        <v>234334</v>
      </c>
      <c r="J4" s="206">
        <f t="shared" ref="J4:J11" ca="1" si="1">G4+H4-I4</f>
        <v>4211766</v>
      </c>
      <c r="K4" s="4"/>
      <c r="M4" s="160">
        <f ca="1">EOMONTH($D$2,0)</f>
        <v>45169</v>
      </c>
      <c r="N4" s="36">
        <f t="shared" ref="N4:R4" si="2">DGET($F$14:$G$22,2,N2:N3)</f>
        <v>107334</v>
      </c>
      <c r="O4" s="36">
        <f t="shared" si="2"/>
        <v>135037</v>
      </c>
      <c r="P4" s="36">
        <f t="shared" si="2"/>
        <v>127000</v>
      </c>
      <c r="Q4" s="36">
        <f t="shared" si="2"/>
        <v>135150</v>
      </c>
      <c r="R4" s="36">
        <f t="shared" si="2"/>
        <v>291751</v>
      </c>
      <c r="S4" s="36"/>
      <c r="T4" s="136">
        <f>SUM(N4:S4)</f>
        <v>796272</v>
      </c>
      <c r="U4" s="136">
        <f ca="1">YEAR(M4)</f>
        <v>2023</v>
      </c>
    </row>
    <row r="5" spans="1:21">
      <c r="A5" s="131">
        <v>15</v>
      </c>
      <c r="B5" s="37" t="s">
        <v>157</v>
      </c>
      <c r="C5" s="182"/>
      <c r="D5" s="37" t="s">
        <v>152</v>
      </c>
      <c r="F5" s="37" t="s">
        <v>148</v>
      </c>
      <c r="G5" s="36">
        <v>78163</v>
      </c>
      <c r="H5" s="193">
        <v>500000</v>
      </c>
      <c r="I5" s="208">
        <f>SUMIFS($C$4:$C$18,$D$4:$D$18,$F$4:$F$11)</f>
        <v>426788</v>
      </c>
      <c r="J5" s="134">
        <f t="shared" si="1"/>
        <v>151375</v>
      </c>
      <c r="K5" s="158"/>
    </row>
    <row r="6" spans="1:21">
      <c r="A6" s="131">
        <v>15</v>
      </c>
      <c r="B6" s="37" t="s">
        <v>159</v>
      </c>
      <c r="C6" s="193">
        <v>107334</v>
      </c>
      <c r="D6" s="37" t="s">
        <v>147</v>
      </c>
      <c r="F6" s="37" t="s">
        <v>372</v>
      </c>
      <c r="G6" s="36"/>
      <c r="H6" s="197"/>
      <c r="I6" s="208">
        <f t="shared" si="0"/>
        <v>0</v>
      </c>
      <c r="J6" s="134">
        <f t="shared" si="1"/>
        <v>0</v>
      </c>
      <c r="K6" s="158"/>
      <c r="M6" s="194" t="s">
        <v>390</v>
      </c>
      <c r="N6" s="175" t="s">
        <v>443</v>
      </c>
      <c r="O6" s="175" t="s">
        <v>444</v>
      </c>
      <c r="P6" s="175" t="s">
        <v>445</v>
      </c>
      <c r="Q6" s="175" t="s">
        <v>446</v>
      </c>
      <c r="R6" s="175" t="s">
        <v>447</v>
      </c>
      <c r="S6" s="175" t="s">
        <v>448</v>
      </c>
      <c r="T6" s="175" t="s">
        <v>449</v>
      </c>
    </row>
    <row r="7" spans="1:21">
      <c r="A7" s="131">
        <v>14</v>
      </c>
      <c r="B7" s="37" t="s">
        <v>161</v>
      </c>
      <c r="C7" s="193">
        <v>135037</v>
      </c>
      <c r="D7" s="37" t="s">
        <v>148</v>
      </c>
      <c r="F7" s="37" t="s">
        <v>399</v>
      </c>
      <c r="G7" s="36">
        <v>32023</v>
      </c>
      <c r="H7" s="193"/>
      <c r="I7" s="208">
        <f t="shared" si="0"/>
        <v>0</v>
      </c>
      <c r="J7" s="134">
        <f t="shared" si="1"/>
        <v>32023</v>
      </c>
      <c r="K7" s="158"/>
      <c r="M7" s="201">
        <v>2019</v>
      </c>
      <c r="N7" s="4">
        <v>196327</v>
      </c>
      <c r="O7" s="4">
        <v>508519</v>
      </c>
      <c r="P7" s="4">
        <v>226240</v>
      </c>
      <c r="Q7" s="4">
        <v>231240</v>
      </c>
      <c r="R7" s="4">
        <v>333327</v>
      </c>
      <c r="S7" s="4">
        <v>16270</v>
      </c>
      <c r="T7" s="4">
        <v>1511923</v>
      </c>
    </row>
    <row r="8" spans="1:21">
      <c r="A8" s="131">
        <v>15</v>
      </c>
      <c r="B8" s="37" t="s">
        <v>158</v>
      </c>
      <c r="C8" s="193">
        <v>127000</v>
      </c>
      <c r="D8" s="37" t="s">
        <v>147</v>
      </c>
      <c r="F8" s="37" t="s">
        <v>152</v>
      </c>
      <c r="G8" s="36">
        <v>29614</v>
      </c>
      <c r="H8" s="193">
        <v>150000</v>
      </c>
      <c r="I8" s="208">
        <f t="shared" si="0"/>
        <v>135150</v>
      </c>
      <c r="J8" s="134">
        <f>G8+H8-I8</f>
        <v>44464</v>
      </c>
      <c r="K8" s="158"/>
      <c r="M8" s="201">
        <v>2020</v>
      </c>
      <c r="N8" s="4">
        <v>2371013</v>
      </c>
      <c r="O8" s="4">
        <v>3608358</v>
      </c>
      <c r="P8" s="4">
        <v>3607820</v>
      </c>
      <c r="Q8" s="4">
        <v>1928610</v>
      </c>
      <c r="R8" s="4">
        <v>1883021</v>
      </c>
      <c r="S8" s="4">
        <v>990006</v>
      </c>
      <c r="T8" s="4">
        <v>14327528</v>
      </c>
    </row>
    <row r="9" spans="1:21">
      <c r="A9" s="131">
        <v>15</v>
      </c>
      <c r="B9" s="37" t="s">
        <v>160</v>
      </c>
      <c r="C9" s="193">
        <v>291751</v>
      </c>
      <c r="D9" s="37" t="s">
        <v>148</v>
      </c>
      <c r="F9" s="37" t="s">
        <v>522</v>
      </c>
      <c r="G9" s="36"/>
      <c r="H9" s="227">
        <f ca="1">C16</f>
        <v>137700</v>
      </c>
      <c r="I9" s="208">
        <f ca="1">SUMIFS($C$4:$C$18,$D$4:$D$18,$F$4:$F$11)</f>
        <v>137700</v>
      </c>
      <c r="J9" s="134">
        <f ca="1">G9+H9-I9</f>
        <v>0</v>
      </c>
      <c r="K9" s="158">
        <f ca="1">G9+H9</f>
        <v>137700</v>
      </c>
      <c r="M9" s="201">
        <v>2021</v>
      </c>
      <c r="N9" s="4">
        <v>3090411</v>
      </c>
      <c r="O9" s="4">
        <v>3019980</v>
      </c>
      <c r="P9" s="4">
        <v>3142575</v>
      </c>
      <c r="Q9" s="4">
        <v>4848630</v>
      </c>
      <c r="R9" s="4">
        <v>2355464</v>
      </c>
      <c r="S9" s="4">
        <v>0</v>
      </c>
      <c r="T9" s="4">
        <v>16517640</v>
      </c>
    </row>
    <row r="10" spans="1:21">
      <c r="A10" s="131">
        <v>21</v>
      </c>
      <c r="B10" s="37" t="s">
        <v>482</v>
      </c>
      <c r="C10" s="208"/>
      <c r="D10" s="37" t="s">
        <v>484</v>
      </c>
      <c r="F10" s="37" t="s">
        <v>401</v>
      </c>
      <c r="G10" s="36">
        <v>3300000</v>
      </c>
      <c r="H10" s="196">
        <v>100000</v>
      </c>
      <c r="I10" s="208">
        <f t="shared" si="0"/>
        <v>100000</v>
      </c>
      <c r="J10" s="134">
        <f t="shared" si="1"/>
        <v>3300000</v>
      </c>
      <c r="K10" s="158">
        <f>G10+H10</f>
        <v>3400000</v>
      </c>
      <c r="M10" s="201">
        <v>2022</v>
      </c>
      <c r="N10" s="4">
        <v>1910298</v>
      </c>
      <c r="O10" s="4">
        <v>4559572</v>
      </c>
      <c r="P10" s="4">
        <v>3447034</v>
      </c>
      <c r="Q10" s="4">
        <v>3352345</v>
      </c>
      <c r="R10" s="4">
        <v>3341945</v>
      </c>
      <c r="S10" s="4">
        <v>0</v>
      </c>
      <c r="T10" s="4">
        <v>16611194</v>
      </c>
    </row>
    <row r="11" spans="1:21">
      <c r="A11" s="131">
        <v>3</v>
      </c>
      <c r="B11" s="37" t="s">
        <v>473</v>
      </c>
      <c r="C11" s="208"/>
      <c r="D11" s="37" t="s">
        <v>474</v>
      </c>
      <c r="F11" s="37" t="s">
        <v>400</v>
      </c>
      <c r="G11" s="36">
        <v>3300000</v>
      </c>
      <c r="H11" s="196">
        <v>100000</v>
      </c>
      <c r="I11" s="208">
        <f t="shared" si="0"/>
        <v>100000</v>
      </c>
      <c r="J11" s="134">
        <f t="shared" si="1"/>
        <v>3300000</v>
      </c>
      <c r="K11" s="158">
        <f>G11+H11</f>
        <v>3400000</v>
      </c>
      <c r="M11" s="201">
        <v>2023</v>
      </c>
      <c r="N11" s="4">
        <v>786430</v>
      </c>
      <c r="O11" s="4">
        <v>4049777</v>
      </c>
      <c r="P11" s="4">
        <v>3146454</v>
      </c>
      <c r="Q11" s="4">
        <v>3921420</v>
      </c>
      <c r="R11" s="4">
        <v>3024637</v>
      </c>
      <c r="S11" s="4">
        <v>0</v>
      </c>
      <c r="T11" s="4">
        <v>14563358</v>
      </c>
    </row>
    <row r="12" spans="1:21">
      <c r="A12" s="131">
        <v>15</v>
      </c>
      <c r="B12" s="37" t="s">
        <v>398</v>
      </c>
      <c r="C12" s="36">
        <v>100000</v>
      </c>
      <c r="D12" s="37" t="s">
        <v>412</v>
      </c>
      <c r="G12" s="4">
        <f>SUM(G4:G11)</f>
        <v>12173600</v>
      </c>
      <c r="H12" s="4">
        <f ca="1">SUM(H5:H11)</f>
        <v>987700</v>
      </c>
      <c r="I12" s="4">
        <f ca="1">SUM(I4:I11)</f>
        <v>1133972</v>
      </c>
      <c r="K12" s="4"/>
      <c r="M12" s="195" t="s">
        <v>391</v>
      </c>
      <c r="N12" s="4">
        <v>8354479</v>
      </c>
      <c r="O12" s="4">
        <v>15746206</v>
      </c>
      <c r="P12" s="4">
        <v>13570123</v>
      </c>
      <c r="Q12" s="4">
        <v>14282245</v>
      </c>
      <c r="R12" s="4">
        <v>10938394</v>
      </c>
      <c r="S12" s="4">
        <v>1006276</v>
      </c>
      <c r="T12" s="4">
        <v>63531643</v>
      </c>
    </row>
    <row r="13" spans="1:21">
      <c r="A13" s="131">
        <v>20</v>
      </c>
      <c r="B13" s="37" t="s">
        <v>373</v>
      </c>
      <c r="C13" s="182"/>
      <c r="D13" s="37" t="s">
        <v>411</v>
      </c>
      <c r="G13" s="4"/>
      <c r="H13" s="4"/>
      <c r="I13" s="4"/>
    </row>
    <row r="14" spans="1:21">
      <c r="A14" s="131">
        <v>21</v>
      </c>
      <c r="B14" s="37" t="s">
        <v>162</v>
      </c>
      <c r="C14" s="182"/>
      <c r="D14" s="37" t="s">
        <v>151</v>
      </c>
      <c r="F14" s="132" t="s">
        <v>165</v>
      </c>
      <c r="G14" s="132" t="s">
        <v>166</v>
      </c>
      <c r="I14" s="132" t="s">
        <v>284</v>
      </c>
      <c r="J14" s="132" t="s">
        <v>166</v>
      </c>
    </row>
    <row r="15" spans="1:21">
      <c r="A15" s="131">
        <v>8</v>
      </c>
      <c r="B15" s="37" t="s">
        <v>397</v>
      </c>
      <c r="C15" s="36">
        <v>100000</v>
      </c>
      <c r="D15" s="37" t="s">
        <v>413</v>
      </c>
      <c r="F15" s="35" t="s">
        <v>159</v>
      </c>
      <c r="G15" s="36">
        <f t="shared" ref="G15:G21" si="3">SUMIFS($C$3:$C$18,$B$3:$B$18,$F$14:$F$22)</f>
        <v>107334</v>
      </c>
      <c r="H15" s="2">
        <v>15</v>
      </c>
      <c r="I15" s="131">
        <v>19</v>
      </c>
      <c r="J15" s="36">
        <f>SUMIFS($C$4:$C$18,$A$4:$A$18,"&lt;" &amp; I15)</f>
        <v>861122</v>
      </c>
    </row>
    <row r="16" spans="1:21">
      <c r="A16" s="131">
        <v>26</v>
      </c>
      <c r="B16" s="37" t="s">
        <v>477</v>
      </c>
      <c r="C16" s="208">
        <f ca="1">VLOOKUP($B$2,관리비!C2:G144,4,FALSE)</f>
        <v>137700</v>
      </c>
      <c r="D16" s="37" t="s">
        <v>476</v>
      </c>
      <c r="F16" s="35" t="s">
        <v>161</v>
      </c>
      <c r="G16" s="36">
        <f t="shared" si="3"/>
        <v>135037</v>
      </c>
      <c r="H16" s="2">
        <v>20</v>
      </c>
      <c r="I16" s="131">
        <v>19</v>
      </c>
      <c r="J16" s="36">
        <f ca="1">SUMIFS($C$4:$C$18,$A$4:$A$18,"&gt;" &amp; I16)</f>
        <v>272850</v>
      </c>
      <c r="N16" s="2"/>
      <c r="O16" s="2"/>
    </row>
    <row r="17" spans="1:21">
      <c r="A17" s="131">
        <v>21</v>
      </c>
      <c r="B17" s="37" t="s">
        <v>220</v>
      </c>
      <c r="C17" s="193">
        <v>135150</v>
      </c>
      <c r="D17" s="37" t="s">
        <v>221</v>
      </c>
      <c r="F17" s="35" t="s">
        <v>158</v>
      </c>
      <c r="G17" s="36">
        <f t="shared" si="3"/>
        <v>127000</v>
      </c>
      <c r="N17" s="2"/>
      <c r="O17" s="2"/>
    </row>
    <row r="18" spans="1:21">
      <c r="A18" s="131">
        <v>15</v>
      </c>
      <c r="B18" s="37"/>
      <c r="C18" s="36"/>
      <c r="D18" s="37" t="s">
        <v>221</v>
      </c>
      <c r="F18" s="35" t="s">
        <v>222</v>
      </c>
      <c r="G18" s="36">
        <f t="shared" si="3"/>
        <v>135150</v>
      </c>
      <c r="N18" s="207"/>
      <c r="O18" s="207"/>
    </row>
    <row r="19" spans="1:21">
      <c r="A19" s="130" t="s">
        <v>149</v>
      </c>
      <c r="C19" s="133">
        <f ca="1">SUM(C4:C18)</f>
        <v>1133972</v>
      </c>
      <c r="F19" s="35" t="s">
        <v>160</v>
      </c>
      <c r="G19" s="36">
        <f t="shared" si="3"/>
        <v>291751</v>
      </c>
      <c r="J19" s="158"/>
    </row>
    <row r="20" spans="1:21">
      <c r="A20" s="130"/>
      <c r="B20" t="s">
        <v>409</v>
      </c>
      <c r="C20" s="2">
        <v>133500</v>
      </c>
      <c r="D20" t="s">
        <v>410</v>
      </c>
      <c r="F20" s="35" t="s">
        <v>478</v>
      </c>
      <c r="G20" s="36">
        <f t="shared" si="3"/>
        <v>0</v>
      </c>
      <c r="I20" s="4"/>
    </row>
    <row r="21" spans="1:21">
      <c r="A21" s="129"/>
      <c r="F21" s="35" t="s">
        <v>479</v>
      </c>
      <c r="G21" s="36">
        <f t="shared" si="3"/>
        <v>0</v>
      </c>
    </row>
    <row r="22" spans="1:21">
      <c r="A22" s="129"/>
      <c r="F22" s="35"/>
      <c r="G22" s="37"/>
    </row>
    <row r="23" spans="1:21">
      <c r="C23" s="4"/>
      <c r="F23" s="135" t="s">
        <v>149</v>
      </c>
      <c r="G23" s="136">
        <f>SUM(G15:G22)</f>
        <v>796272</v>
      </c>
    </row>
    <row r="30" spans="1:21">
      <c r="M30" s="160">
        <v>45169</v>
      </c>
      <c r="N30" s="36">
        <v>107334</v>
      </c>
      <c r="O30" s="36">
        <v>135037</v>
      </c>
      <c r="P30" s="36">
        <v>127000</v>
      </c>
      <c r="Q30" s="36">
        <v>135150</v>
      </c>
      <c r="R30" s="36">
        <v>291751</v>
      </c>
      <c r="S30" s="36"/>
      <c r="T30" s="36">
        <v>796272</v>
      </c>
      <c r="U30" s="136">
        <v>2023</v>
      </c>
    </row>
    <row r="31" spans="1:21">
      <c r="M31" s="161" t="s">
        <v>327</v>
      </c>
      <c r="N31" s="161" t="s">
        <v>328</v>
      </c>
      <c r="O31" s="161" t="s">
        <v>329</v>
      </c>
      <c r="P31" s="161" t="s">
        <v>330</v>
      </c>
      <c r="Q31" s="161" t="s">
        <v>331</v>
      </c>
      <c r="R31" s="161" t="s">
        <v>332</v>
      </c>
      <c r="S31" s="161" t="s">
        <v>333</v>
      </c>
      <c r="T31" s="161" t="s">
        <v>334</v>
      </c>
      <c r="U31" s="161" t="s">
        <v>389</v>
      </c>
    </row>
    <row r="32" spans="1:21">
      <c r="M32" s="135"/>
      <c r="N32" s="135"/>
      <c r="O32" s="135"/>
      <c r="P32" s="135"/>
      <c r="Q32" s="135"/>
      <c r="R32" s="135"/>
      <c r="S32" s="135"/>
      <c r="T32" s="135"/>
      <c r="U32" s="135"/>
    </row>
    <row r="33" spans="4:21">
      <c r="M33" s="160">
        <v>45169</v>
      </c>
      <c r="N33" s="36">
        <v>107334</v>
      </c>
      <c r="O33" s="36">
        <v>135037</v>
      </c>
      <c r="P33" s="36">
        <v>127000</v>
      </c>
      <c r="Q33" s="36">
        <v>135150</v>
      </c>
      <c r="R33" s="36">
        <v>291751</v>
      </c>
      <c r="S33" s="36"/>
      <c r="T33" s="136">
        <v>796272</v>
      </c>
      <c r="U33" s="136">
        <v>2023</v>
      </c>
    </row>
    <row r="34" spans="4:21">
      <c r="M34" s="160">
        <v>45138</v>
      </c>
      <c r="N34" s="36">
        <v>107378</v>
      </c>
      <c r="O34" s="36">
        <v>286309</v>
      </c>
      <c r="P34" s="36">
        <v>220180</v>
      </c>
      <c r="Q34" s="36">
        <v>318610</v>
      </c>
      <c r="R34" s="36">
        <v>144390</v>
      </c>
      <c r="S34" s="36">
        <v>0</v>
      </c>
      <c r="T34" s="36">
        <v>1076867</v>
      </c>
      <c r="U34" s="136">
        <v>2023</v>
      </c>
    </row>
    <row r="35" spans="4:21">
      <c r="M35" s="160">
        <v>45107</v>
      </c>
      <c r="N35" s="36">
        <v>106539</v>
      </c>
      <c r="O35" s="36">
        <v>188078</v>
      </c>
      <c r="P35" s="36">
        <v>911580</v>
      </c>
      <c r="Q35" s="36">
        <v>610780</v>
      </c>
      <c r="R35" s="36">
        <v>0</v>
      </c>
      <c r="S35" s="36">
        <v>0</v>
      </c>
      <c r="T35" s="36">
        <v>1816977</v>
      </c>
      <c r="U35" s="136">
        <v>2023</v>
      </c>
    </row>
    <row r="36" spans="4:21">
      <c r="M36" s="160">
        <v>45077</v>
      </c>
      <c r="N36" s="36">
        <v>107470</v>
      </c>
      <c r="O36" s="36">
        <v>180785</v>
      </c>
      <c r="P36" s="36">
        <v>778600</v>
      </c>
      <c r="Q36" s="36">
        <v>537660</v>
      </c>
      <c r="R36" s="36">
        <v>648444</v>
      </c>
      <c r="S36" s="36">
        <v>0</v>
      </c>
      <c r="T36" s="36">
        <v>2252959</v>
      </c>
      <c r="U36" s="136">
        <v>2023</v>
      </c>
    </row>
    <row r="37" spans="4:21">
      <c r="M37" s="160">
        <v>45046</v>
      </c>
      <c r="N37" s="36">
        <v>107524</v>
      </c>
      <c r="O37" s="36">
        <v>621393</v>
      </c>
      <c r="P37" s="36">
        <v>222400</v>
      </c>
      <c r="Q37" s="36">
        <v>309040</v>
      </c>
      <c r="R37" s="36">
        <v>671581</v>
      </c>
      <c r="S37" s="36">
        <v>0</v>
      </c>
      <c r="T37" s="136">
        <v>1931938</v>
      </c>
      <c r="U37" s="136">
        <v>2023</v>
      </c>
    </row>
    <row r="38" spans="4:21">
      <c r="M38" s="160">
        <v>45016</v>
      </c>
      <c r="N38" s="36">
        <v>126544</v>
      </c>
      <c r="O38" s="36">
        <v>1594862</v>
      </c>
      <c r="P38" s="36">
        <v>348700</v>
      </c>
      <c r="Q38" s="36">
        <v>126580</v>
      </c>
      <c r="R38" s="36">
        <v>273777</v>
      </c>
      <c r="S38" s="36"/>
      <c r="T38" s="136">
        <v>2470463</v>
      </c>
      <c r="U38" s="136">
        <v>2023</v>
      </c>
    </row>
    <row r="39" spans="4:21">
      <c r="M39" s="160">
        <v>44985</v>
      </c>
      <c r="N39" s="36">
        <v>107619</v>
      </c>
      <c r="O39" s="36">
        <v>616589</v>
      </c>
      <c r="P39" s="36">
        <v>317200</v>
      </c>
      <c r="Q39" s="36">
        <v>365360</v>
      </c>
      <c r="R39" s="36">
        <v>1282572</v>
      </c>
      <c r="S39" s="36"/>
      <c r="T39" s="136">
        <v>2323980</v>
      </c>
      <c r="U39" s="136">
        <v>2023</v>
      </c>
    </row>
    <row r="40" spans="4:21">
      <c r="M40" s="160">
        <v>44957</v>
      </c>
      <c r="N40" s="36">
        <v>123356</v>
      </c>
      <c r="O40" s="36">
        <v>561761</v>
      </c>
      <c r="P40" s="36">
        <v>347794</v>
      </c>
      <c r="Q40" s="36">
        <v>1653390</v>
      </c>
      <c r="R40" s="36">
        <v>3873</v>
      </c>
      <c r="S40" s="36"/>
      <c r="T40" s="136">
        <v>2690174</v>
      </c>
      <c r="U40" s="136">
        <v>2023</v>
      </c>
    </row>
    <row r="41" spans="4:21">
      <c r="M41" s="160">
        <v>44926</v>
      </c>
      <c r="N41" s="36">
        <v>107700</v>
      </c>
      <c r="O41" s="36">
        <v>523450</v>
      </c>
      <c r="P41" s="36">
        <v>789500</v>
      </c>
      <c r="Q41" s="36">
        <v>232570</v>
      </c>
      <c r="R41" s="36">
        <v>1602216</v>
      </c>
      <c r="S41" s="36"/>
      <c r="T41" s="136">
        <v>3255436</v>
      </c>
      <c r="U41" s="136">
        <v>2022</v>
      </c>
    </row>
    <row r="42" spans="4:21">
      <c r="M42" s="160">
        <v>44895</v>
      </c>
      <c r="N42" s="36">
        <v>107761</v>
      </c>
      <c r="O42" s="36">
        <v>658130</v>
      </c>
      <c r="P42" s="36">
        <v>386300</v>
      </c>
      <c r="Q42" s="36">
        <v>138975</v>
      </c>
      <c r="R42" s="36">
        <v>85103</v>
      </c>
      <c r="S42" s="36"/>
      <c r="T42" s="136">
        <v>1376269</v>
      </c>
      <c r="U42" s="136">
        <v>2022</v>
      </c>
    </row>
    <row r="43" spans="4:21">
      <c r="M43" s="160">
        <v>44865</v>
      </c>
      <c r="N43" s="36">
        <v>107792</v>
      </c>
      <c r="O43" s="36">
        <v>270578</v>
      </c>
      <c r="P43" s="36">
        <v>0</v>
      </c>
      <c r="Q43" s="36">
        <v>208010</v>
      </c>
      <c r="R43" s="36">
        <v>82381</v>
      </c>
      <c r="S43" s="36"/>
      <c r="T43" s="136">
        <v>668761</v>
      </c>
      <c r="U43" s="136">
        <v>2022</v>
      </c>
    </row>
    <row r="44" spans="4:21">
      <c r="D44" s="2"/>
      <c r="M44" s="160">
        <v>44834</v>
      </c>
      <c r="N44" s="36">
        <v>107856</v>
      </c>
      <c r="O44" s="36">
        <v>219916</v>
      </c>
      <c r="P44" s="36">
        <v>135000</v>
      </c>
      <c r="Q44" s="36">
        <v>106850</v>
      </c>
      <c r="R44" s="36">
        <v>53822</v>
      </c>
      <c r="S44" s="36"/>
      <c r="T44" s="136">
        <v>623444</v>
      </c>
      <c r="U44" s="136">
        <v>2022</v>
      </c>
    </row>
    <row r="45" spans="4:21">
      <c r="D45" s="2"/>
      <c r="F45" s="2"/>
      <c r="M45" s="160">
        <v>44804</v>
      </c>
      <c r="N45" s="36">
        <v>107930</v>
      </c>
      <c r="O45" s="36">
        <v>316758</v>
      </c>
      <c r="P45" s="36">
        <v>440790</v>
      </c>
      <c r="Q45" s="36">
        <v>148900</v>
      </c>
      <c r="R45" s="36">
        <v>100293</v>
      </c>
      <c r="S45" s="36"/>
      <c r="T45" s="136">
        <v>1114671</v>
      </c>
      <c r="U45" s="136">
        <v>2022</v>
      </c>
    </row>
    <row r="46" spans="4:21">
      <c r="D46" s="2"/>
      <c r="F46" s="2"/>
      <c r="M46" s="160">
        <v>44773</v>
      </c>
      <c r="N46" s="36">
        <v>107930</v>
      </c>
      <c r="O46" s="36">
        <v>135500</v>
      </c>
      <c r="P46" s="36">
        <v>39443</v>
      </c>
      <c r="Q46" s="36">
        <v>91160</v>
      </c>
      <c r="R46" s="36">
        <v>324209</v>
      </c>
      <c r="S46" s="36"/>
      <c r="T46" s="136">
        <v>698242</v>
      </c>
      <c r="U46" s="136">
        <v>2022</v>
      </c>
    </row>
    <row r="47" spans="4:21">
      <c r="D47" s="2"/>
      <c r="F47" s="2"/>
      <c r="M47" s="160">
        <v>44742</v>
      </c>
      <c r="N47" s="36">
        <v>179388</v>
      </c>
      <c r="O47" s="36">
        <v>192320</v>
      </c>
      <c r="P47" s="36">
        <v>129443</v>
      </c>
      <c r="Q47" s="36">
        <v>237310</v>
      </c>
      <c r="R47" s="36">
        <v>161255</v>
      </c>
      <c r="S47" s="36"/>
      <c r="T47" s="136">
        <v>899716</v>
      </c>
      <c r="U47" s="136">
        <v>2022</v>
      </c>
    </row>
    <row r="48" spans="4:21">
      <c r="D48" s="2"/>
      <c r="F48" s="2"/>
      <c r="M48" s="160">
        <v>44712</v>
      </c>
      <c r="N48" s="36">
        <v>215381</v>
      </c>
      <c r="O48" s="36">
        <v>192500</v>
      </c>
      <c r="P48" s="36">
        <v>169443</v>
      </c>
      <c r="Q48" s="36">
        <v>307090</v>
      </c>
      <c r="R48" s="36">
        <v>80543</v>
      </c>
      <c r="S48" s="36"/>
      <c r="T48" s="136">
        <v>964957</v>
      </c>
      <c r="U48" s="136">
        <v>2022</v>
      </c>
    </row>
    <row r="49" spans="4:21">
      <c r="D49" s="2"/>
      <c r="F49" s="2"/>
      <c r="M49" s="160">
        <v>44681</v>
      </c>
      <c r="N49" s="36">
        <v>212173</v>
      </c>
      <c r="O49" s="36">
        <v>491300</v>
      </c>
      <c r="P49" s="36">
        <v>209443</v>
      </c>
      <c r="Q49" s="36">
        <v>277280</v>
      </c>
      <c r="R49" s="36">
        <v>9136</v>
      </c>
      <c r="S49" s="36">
        <v>0</v>
      </c>
      <c r="T49" s="136">
        <v>1199332</v>
      </c>
      <c r="U49" s="136">
        <v>2022</v>
      </c>
    </row>
    <row r="50" spans="4:21">
      <c r="D50" s="2"/>
      <c r="F50" s="2"/>
      <c r="G50" s="2"/>
      <c r="M50" s="160">
        <v>44651</v>
      </c>
      <c r="N50" s="36">
        <v>231138</v>
      </c>
      <c r="O50" s="36">
        <v>491300</v>
      </c>
      <c r="P50" s="36">
        <v>387943</v>
      </c>
      <c r="Q50" s="36">
        <v>404490</v>
      </c>
      <c r="R50" s="36">
        <v>132470</v>
      </c>
      <c r="S50" s="36">
        <v>0</v>
      </c>
      <c r="T50" s="136">
        <v>1647341</v>
      </c>
      <c r="U50" s="136">
        <v>2022</v>
      </c>
    </row>
    <row r="51" spans="4:21">
      <c r="D51" s="2"/>
      <c r="F51" s="2"/>
      <c r="M51" s="160">
        <v>44620</v>
      </c>
      <c r="N51" s="36">
        <v>211428</v>
      </c>
      <c r="O51" s="36">
        <v>551220</v>
      </c>
      <c r="P51" s="36">
        <v>264232</v>
      </c>
      <c r="Q51" s="36">
        <v>632300</v>
      </c>
      <c r="R51" s="36">
        <v>275068</v>
      </c>
      <c r="S51" s="36">
        <v>0</v>
      </c>
      <c r="T51" s="136">
        <v>1934248</v>
      </c>
      <c r="U51" s="136">
        <v>2022</v>
      </c>
    </row>
    <row r="52" spans="4:21">
      <c r="F52" s="2"/>
      <c r="M52" s="160">
        <v>44592</v>
      </c>
      <c r="N52" s="36">
        <v>213821</v>
      </c>
      <c r="O52" s="36">
        <v>516600</v>
      </c>
      <c r="P52" s="36">
        <v>495497</v>
      </c>
      <c r="Q52" s="36">
        <v>567410</v>
      </c>
      <c r="R52" s="36">
        <v>435449</v>
      </c>
      <c r="S52" s="36">
        <v>0</v>
      </c>
      <c r="T52" s="136">
        <v>2228777</v>
      </c>
      <c r="U52" s="136">
        <v>2022</v>
      </c>
    </row>
    <row r="53" spans="4:21">
      <c r="D53" s="2"/>
      <c r="F53" s="2"/>
      <c r="M53" s="160">
        <v>44561</v>
      </c>
      <c r="N53" s="36">
        <v>213821</v>
      </c>
      <c r="O53" s="36">
        <v>513100</v>
      </c>
      <c r="P53" s="36">
        <v>298504</v>
      </c>
      <c r="Q53" s="36">
        <v>545450</v>
      </c>
      <c r="R53" s="36">
        <v>403468</v>
      </c>
      <c r="S53" s="36">
        <v>0</v>
      </c>
      <c r="T53" s="136">
        <v>1974343</v>
      </c>
      <c r="U53" s="136">
        <v>2021</v>
      </c>
    </row>
    <row r="54" spans="4:21">
      <c r="D54" s="2"/>
      <c r="M54" s="160">
        <v>44530</v>
      </c>
      <c r="N54" s="36">
        <v>211521</v>
      </c>
      <c r="O54" s="36">
        <v>514100</v>
      </c>
      <c r="P54" s="36">
        <v>477921</v>
      </c>
      <c r="Q54" s="36">
        <v>558000</v>
      </c>
      <c r="R54" s="36">
        <v>91172</v>
      </c>
      <c r="S54" s="36">
        <v>0</v>
      </c>
      <c r="T54" s="136">
        <v>1852714</v>
      </c>
      <c r="U54" s="136">
        <v>2021</v>
      </c>
    </row>
    <row r="55" spans="4:21">
      <c r="D55" s="2"/>
      <c r="M55" s="160">
        <v>44500</v>
      </c>
      <c r="N55" s="36">
        <v>211616</v>
      </c>
      <c r="O55" s="36">
        <v>179620</v>
      </c>
      <c r="P55" s="36">
        <v>41519</v>
      </c>
      <c r="Q55" s="36">
        <v>633480</v>
      </c>
      <c r="R55" s="36">
        <v>152732</v>
      </c>
      <c r="S55" s="36">
        <v>0</v>
      </c>
      <c r="T55" s="136">
        <v>1218967</v>
      </c>
      <c r="U55" s="136">
        <v>2021</v>
      </c>
    </row>
    <row r="56" spans="4:21">
      <c r="D56" s="2"/>
      <c r="M56" s="160">
        <v>44469</v>
      </c>
      <c r="N56" s="36">
        <v>211616</v>
      </c>
      <c r="O56" s="36">
        <v>135800</v>
      </c>
      <c r="P56" s="36">
        <v>128400</v>
      </c>
      <c r="Q56" s="36">
        <v>466980</v>
      </c>
      <c r="R56" s="36">
        <v>155512</v>
      </c>
      <c r="S56" s="36">
        <v>0</v>
      </c>
      <c r="T56" s="136">
        <v>1098308</v>
      </c>
      <c r="U56" s="136">
        <v>2021</v>
      </c>
    </row>
    <row r="57" spans="4:21">
      <c r="D57" s="2"/>
      <c r="M57" s="160">
        <v>44439</v>
      </c>
      <c r="N57" s="36">
        <v>215593</v>
      </c>
      <c r="O57" s="36">
        <v>138500</v>
      </c>
      <c r="P57" s="36">
        <v>173800</v>
      </c>
      <c r="Q57" s="36">
        <v>511070</v>
      </c>
      <c r="R57" s="36">
        <v>3426</v>
      </c>
      <c r="S57" s="36">
        <v>0</v>
      </c>
      <c r="T57" s="136">
        <v>1042389</v>
      </c>
      <c r="U57" s="136">
        <v>2021</v>
      </c>
    </row>
    <row r="58" spans="4:21">
      <c r="D58" s="2"/>
      <c r="M58" s="160">
        <v>44408</v>
      </c>
      <c r="N58" s="36">
        <v>325830</v>
      </c>
      <c r="O58" s="36">
        <v>156350</v>
      </c>
      <c r="P58" s="36">
        <v>70000</v>
      </c>
      <c r="Q58" s="36">
        <v>574650</v>
      </c>
      <c r="R58" s="36">
        <v>354915</v>
      </c>
      <c r="S58" s="36">
        <v>0</v>
      </c>
      <c r="T58" s="136">
        <v>1481745</v>
      </c>
      <c r="U58" s="136">
        <v>2021</v>
      </c>
    </row>
    <row r="59" spans="4:21">
      <c r="D59" s="2"/>
      <c r="M59" s="160">
        <v>44377</v>
      </c>
      <c r="N59" s="36">
        <v>293397</v>
      </c>
      <c r="O59" s="36">
        <v>162800</v>
      </c>
      <c r="P59" s="36">
        <v>218534</v>
      </c>
      <c r="Q59" s="36">
        <v>257660</v>
      </c>
      <c r="R59" s="36">
        <v>149798</v>
      </c>
      <c r="S59" s="36">
        <v>0</v>
      </c>
      <c r="T59" s="136">
        <v>1082189</v>
      </c>
      <c r="U59" s="136">
        <v>2021</v>
      </c>
    </row>
    <row r="60" spans="4:21">
      <c r="D60" s="2"/>
      <c r="M60" s="160">
        <v>44347</v>
      </c>
      <c r="N60" s="36">
        <v>293252</v>
      </c>
      <c r="O60" s="36">
        <v>228100</v>
      </c>
      <c r="P60" s="36">
        <v>403816</v>
      </c>
      <c r="Q60" s="36">
        <v>379800</v>
      </c>
      <c r="R60" s="36">
        <v>6852</v>
      </c>
      <c r="S60" s="36">
        <v>0</v>
      </c>
      <c r="T60" s="136">
        <v>1311820</v>
      </c>
      <c r="U60" s="136">
        <v>2021</v>
      </c>
    </row>
    <row r="61" spans="4:21">
      <c r="D61" s="2"/>
      <c r="M61" s="160">
        <v>44316</v>
      </c>
      <c r="N61" s="36">
        <v>289542</v>
      </c>
      <c r="O61" s="36">
        <v>267300</v>
      </c>
      <c r="P61" s="36">
        <v>400697</v>
      </c>
      <c r="Q61" s="36">
        <v>203800</v>
      </c>
      <c r="R61" s="36">
        <v>176984</v>
      </c>
      <c r="S61" s="36">
        <v>0</v>
      </c>
      <c r="T61" s="136">
        <v>1338323</v>
      </c>
      <c r="U61" s="136">
        <v>2021</v>
      </c>
    </row>
    <row r="62" spans="4:21">
      <c r="D62" s="2"/>
      <c r="M62" s="160">
        <v>44286</v>
      </c>
      <c r="N62" s="36">
        <v>299420</v>
      </c>
      <c r="O62" s="36">
        <v>150800</v>
      </c>
      <c r="P62" s="36">
        <v>343381</v>
      </c>
      <c r="Q62" s="36">
        <v>336100</v>
      </c>
      <c r="R62" s="36">
        <v>672474</v>
      </c>
      <c r="S62" s="36">
        <v>0</v>
      </c>
      <c r="T62" s="136">
        <v>1802175</v>
      </c>
      <c r="U62" s="136">
        <v>2021</v>
      </c>
    </row>
    <row r="63" spans="4:21">
      <c r="D63" s="2"/>
      <c r="M63" s="160">
        <v>44255</v>
      </c>
      <c r="N63" s="36">
        <v>336603</v>
      </c>
      <c r="O63" s="36">
        <v>432260</v>
      </c>
      <c r="P63" s="36">
        <v>264819</v>
      </c>
      <c r="Q63" s="36">
        <v>182440</v>
      </c>
      <c r="R63" s="36">
        <v>54523</v>
      </c>
      <c r="S63" s="36">
        <v>0</v>
      </c>
      <c r="T63" s="136">
        <v>1331225</v>
      </c>
      <c r="U63" s="136">
        <v>2021</v>
      </c>
    </row>
    <row r="64" spans="4:21">
      <c r="M64" s="160">
        <v>44227</v>
      </c>
      <c r="N64" s="36">
        <v>188200</v>
      </c>
      <c r="O64" s="36">
        <v>141250</v>
      </c>
      <c r="P64" s="36">
        <v>321184</v>
      </c>
      <c r="Q64" s="36">
        <v>199200</v>
      </c>
      <c r="R64" s="36">
        <v>133608</v>
      </c>
      <c r="S64" s="36">
        <v>0</v>
      </c>
      <c r="T64" s="136">
        <v>983442</v>
      </c>
      <c r="U64" s="136">
        <v>2021</v>
      </c>
    </row>
    <row r="65" spans="13:21">
      <c r="M65" s="160">
        <v>44196</v>
      </c>
      <c r="N65" s="36">
        <v>151700</v>
      </c>
      <c r="O65" s="36">
        <v>374850</v>
      </c>
      <c r="P65" s="36">
        <v>179535</v>
      </c>
      <c r="Q65" s="36">
        <v>466370</v>
      </c>
      <c r="R65" s="36">
        <v>269190</v>
      </c>
      <c r="S65" s="36">
        <v>0</v>
      </c>
      <c r="T65" s="136">
        <v>1441645</v>
      </c>
      <c r="U65" s="136">
        <v>2020</v>
      </c>
    </row>
    <row r="66" spans="13:21">
      <c r="M66" s="160">
        <v>44165</v>
      </c>
      <c r="N66" s="36">
        <v>181641</v>
      </c>
      <c r="O66" s="36">
        <v>420600</v>
      </c>
      <c r="P66" s="36">
        <v>177085</v>
      </c>
      <c r="Q66" s="36">
        <v>231090</v>
      </c>
      <c r="R66" s="36">
        <v>105762</v>
      </c>
      <c r="S66" s="36">
        <v>0</v>
      </c>
      <c r="T66" s="136">
        <v>1054878</v>
      </c>
      <c r="U66" s="136">
        <v>2020</v>
      </c>
    </row>
    <row r="67" spans="13:21">
      <c r="M67" s="160">
        <v>44135</v>
      </c>
      <c r="N67" s="36">
        <v>211141</v>
      </c>
      <c r="O67" s="36">
        <v>485360</v>
      </c>
      <c r="P67" s="36">
        <v>172585</v>
      </c>
      <c r="Q67" s="36">
        <v>21200</v>
      </c>
      <c r="R67" s="36">
        <v>135837</v>
      </c>
      <c r="S67" s="36">
        <v>0</v>
      </c>
      <c r="T67" s="136">
        <v>1026123</v>
      </c>
      <c r="U67" s="136">
        <v>2020</v>
      </c>
    </row>
    <row r="68" spans="13:21">
      <c r="M68" s="160">
        <v>44104</v>
      </c>
      <c r="N68" s="36">
        <v>321841</v>
      </c>
      <c r="O68" s="36">
        <v>216740</v>
      </c>
      <c r="P68" s="36">
        <v>387065</v>
      </c>
      <c r="Q68" s="36">
        <v>103760</v>
      </c>
      <c r="R68" s="36">
        <v>53000</v>
      </c>
      <c r="S68" s="36">
        <v>0</v>
      </c>
      <c r="T68" s="136">
        <v>1082406</v>
      </c>
      <c r="U68" s="136">
        <f>YEAR(M68)</f>
        <v>2020</v>
      </c>
    </row>
    <row r="69" spans="13:21">
      <c r="M69" s="160">
        <v>44074</v>
      </c>
      <c r="N69" s="36">
        <v>264741</v>
      </c>
      <c r="O69" s="36">
        <v>135800</v>
      </c>
      <c r="P69" s="36">
        <v>342650</v>
      </c>
      <c r="Q69" s="36">
        <v>248570</v>
      </c>
      <c r="R69" s="36">
        <v>253846</v>
      </c>
      <c r="S69" s="36">
        <v>45190</v>
      </c>
      <c r="T69" s="136">
        <v>1290797</v>
      </c>
      <c r="U69" s="136">
        <f t="shared" ref="U69:U76" si="4">YEAR(M69)</f>
        <v>2020</v>
      </c>
    </row>
    <row r="70" spans="13:21">
      <c r="M70" s="160">
        <v>44043</v>
      </c>
      <c r="N70" s="36">
        <v>161591</v>
      </c>
      <c r="O70" s="36">
        <v>526880</v>
      </c>
      <c r="P70" s="36">
        <v>271150</v>
      </c>
      <c r="Q70" s="36">
        <v>87810</v>
      </c>
      <c r="R70" s="36">
        <v>196218</v>
      </c>
      <c r="S70" s="36">
        <v>205134</v>
      </c>
      <c r="T70" s="136">
        <v>1448783</v>
      </c>
      <c r="U70" s="136">
        <f t="shared" si="4"/>
        <v>2020</v>
      </c>
    </row>
    <row r="71" spans="13:21">
      <c r="M71" s="160">
        <v>44012</v>
      </c>
      <c r="N71" s="36">
        <v>263095</v>
      </c>
      <c r="O71" s="36">
        <v>305380</v>
      </c>
      <c r="P71" s="36">
        <v>232250</v>
      </c>
      <c r="Q71" s="36">
        <v>80000</v>
      </c>
      <c r="R71" s="36">
        <v>5115</v>
      </c>
      <c r="S71" s="36">
        <v>151745</v>
      </c>
      <c r="T71" s="136">
        <v>1037585</v>
      </c>
      <c r="U71" s="136">
        <f t="shared" si="4"/>
        <v>2020</v>
      </c>
    </row>
    <row r="72" spans="13:21">
      <c r="M72" s="160">
        <v>43982</v>
      </c>
      <c r="N72" s="36">
        <v>138350</v>
      </c>
      <c r="O72" s="36">
        <v>233800</v>
      </c>
      <c r="P72" s="36">
        <v>152680</v>
      </c>
      <c r="Q72" s="36">
        <v>177590</v>
      </c>
      <c r="R72" s="36">
        <v>278946</v>
      </c>
      <c r="S72" s="36">
        <v>384456</v>
      </c>
      <c r="T72" s="136">
        <v>1365822</v>
      </c>
      <c r="U72" s="136">
        <f t="shared" si="4"/>
        <v>2020</v>
      </c>
    </row>
    <row r="73" spans="13:21">
      <c r="M73" s="160">
        <v>43921</v>
      </c>
      <c r="N73" s="36">
        <v>333480</v>
      </c>
      <c r="O73" s="36">
        <v>297996</v>
      </c>
      <c r="P73" s="36">
        <v>629320</v>
      </c>
      <c r="Q73" s="36">
        <v>166580</v>
      </c>
      <c r="R73" s="36">
        <v>193635</v>
      </c>
      <c r="S73" s="36">
        <v>55771</v>
      </c>
      <c r="T73" s="36">
        <v>1676782</v>
      </c>
      <c r="U73" s="136">
        <f t="shared" si="4"/>
        <v>2020</v>
      </c>
    </row>
    <row r="74" spans="13:21">
      <c r="M74" s="160">
        <v>43890</v>
      </c>
      <c r="N74" s="36">
        <v>163930</v>
      </c>
      <c r="O74" s="36">
        <v>373133</v>
      </c>
      <c r="P74" s="36">
        <v>494830</v>
      </c>
      <c r="Q74" s="36">
        <v>282140</v>
      </c>
      <c r="R74" s="36">
        <v>117174</v>
      </c>
      <c r="S74" s="36">
        <v>54760</v>
      </c>
      <c r="T74" s="36">
        <v>1485967</v>
      </c>
      <c r="U74" s="136">
        <f t="shared" si="4"/>
        <v>2020</v>
      </c>
    </row>
    <row r="75" spans="13:21">
      <c r="M75" s="160">
        <v>43861</v>
      </c>
      <c r="N75" s="36">
        <v>179503</v>
      </c>
      <c r="O75" s="36">
        <v>237819</v>
      </c>
      <c r="P75" s="36">
        <v>568670</v>
      </c>
      <c r="Q75" s="36">
        <v>63500</v>
      </c>
      <c r="R75" s="36">
        <v>274298</v>
      </c>
      <c r="S75" s="36">
        <v>92950</v>
      </c>
      <c r="T75" s="36">
        <v>1416740</v>
      </c>
      <c r="U75" s="136">
        <f t="shared" si="4"/>
        <v>2020</v>
      </c>
    </row>
    <row r="76" spans="13:21">
      <c r="M76" s="160">
        <v>43830</v>
      </c>
      <c r="N76" s="36">
        <v>196327</v>
      </c>
      <c r="O76" s="36">
        <v>508519</v>
      </c>
      <c r="P76" s="36">
        <v>226240</v>
      </c>
      <c r="Q76" s="36">
        <v>231240</v>
      </c>
      <c r="R76" s="36">
        <v>333327</v>
      </c>
      <c r="S76" s="36">
        <v>16270</v>
      </c>
      <c r="T76" s="36">
        <v>1511923</v>
      </c>
      <c r="U76" s="136">
        <f t="shared" si="4"/>
        <v>2019</v>
      </c>
    </row>
    <row r="77" spans="13:21">
      <c r="M77" s="37"/>
      <c r="N77" s="36">
        <f t="shared" ref="N77:T77" si="5">SUM(N31:N76)</f>
        <v>8461813</v>
      </c>
      <c r="O77" s="36">
        <f t="shared" si="5"/>
        <v>15881243</v>
      </c>
      <c r="P77" s="36">
        <f t="shared" si="5"/>
        <v>13697123</v>
      </c>
      <c r="Q77" s="36">
        <f t="shared" si="5"/>
        <v>14417395</v>
      </c>
      <c r="R77" s="36">
        <f t="shared" si="5"/>
        <v>11230145</v>
      </c>
      <c r="S77" s="36">
        <f t="shared" si="5"/>
        <v>1006276</v>
      </c>
      <c r="T77" s="36">
        <f t="shared" si="5"/>
        <v>64327915</v>
      </c>
      <c r="U77" s="36"/>
    </row>
  </sheetData>
  <phoneticPr fontId="6" type="noConversion"/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44"/>
  <sheetViews>
    <sheetView tabSelected="1" workbookViewId="0">
      <pane xSplit="4" ySplit="2" topLeftCell="E114" activePane="bottomRight" state="frozen"/>
      <selection pane="topRight" activeCell="D1" sqref="D1"/>
      <selection pane="bottomLeft" activeCell="A3" sqref="A3"/>
      <selection pane="bottomRight" activeCell="B127" sqref="B127"/>
    </sheetView>
  </sheetViews>
  <sheetFormatPr defaultColWidth="10.28515625" defaultRowHeight="13.5"/>
  <cols>
    <col min="1" max="1" width="4.28515625" bestFit="1" customWidth="1"/>
    <col min="3" max="3" width="9.7109375" bestFit="1" customWidth="1"/>
    <col min="5" max="5" width="13.140625" bestFit="1" customWidth="1"/>
    <col min="6" max="6" width="11.28515625" bestFit="1" customWidth="1"/>
    <col min="7" max="8" width="24.7109375" bestFit="1" customWidth="1"/>
    <col min="9" max="9" width="16.140625" bestFit="1" customWidth="1"/>
    <col min="10" max="10" width="15.140625" bestFit="1" customWidth="1"/>
    <col min="11" max="11" width="26.7109375" bestFit="1" customWidth="1"/>
    <col min="12" max="12" width="27.7109375" bestFit="1" customWidth="1"/>
    <col min="18" max="18" width="12.28515625" bestFit="1" customWidth="1"/>
  </cols>
  <sheetData>
    <row r="1" spans="1:17" ht="34.5" customHeight="1">
      <c r="N1" s="175" t="s">
        <v>467</v>
      </c>
      <c r="O1" s="175" t="s">
        <v>467</v>
      </c>
      <c r="P1" s="175" t="s">
        <v>466</v>
      </c>
    </row>
    <row r="2" spans="1:17" ht="15.75" customHeight="1">
      <c r="A2" s="154">
        <f>COUNT(A3:A105)</f>
        <v>103</v>
      </c>
      <c r="B2" s="157" t="s">
        <v>201</v>
      </c>
      <c r="C2" s="157" t="s">
        <v>528</v>
      </c>
      <c r="D2" s="157" t="s">
        <v>176</v>
      </c>
      <c r="E2" s="157" t="s">
        <v>177</v>
      </c>
      <c r="F2" s="157" t="s">
        <v>178</v>
      </c>
      <c r="G2" s="157" t="s">
        <v>180</v>
      </c>
      <c r="H2" s="157" t="s">
        <v>179</v>
      </c>
      <c r="I2" s="157" t="s">
        <v>181</v>
      </c>
      <c r="J2" s="157" t="s">
        <v>182</v>
      </c>
      <c r="K2" s="157" t="s">
        <v>191</v>
      </c>
      <c r="L2" s="157" t="s">
        <v>183</v>
      </c>
      <c r="N2" s="203" t="s">
        <v>462</v>
      </c>
      <c r="O2" s="203" t="s">
        <v>463</v>
      </c>
      <c r="P2" s="203" t="s">
        <v>464</v>
      </c>
      <c r="Q2" s="203" t="s">
        <v>465</v>
      </c>
    </row>
    <row r="3" spans="1:17" ht="18" customHeight="1">
      <c r="A3" s="145">
        <v>1</v>
      </c>
      <c r="B3" s="146">
        <v>43496</v>
      </c>
      <c r="C3" s="225" t="str">
        <f>TEXT(B3,"yyyy-mm")</f>
        <v>2019-01</v>
      </c>
      <c r="D3" s="146">
        <v>43495</v>
      </c>
      <c r="E3" s="147" t="s">
        <v>175</v>
      </c>
      <c r="F3" s="147">
        <v>20300</v>
      </c>
      <c r="G3" s="147" t="s">
        <v>184</v>
      </c>
      <c r="H3" s="147" t="s">
        <v>185</v>
      </c>
      <c r="I3" s="147" t="s">
        <v>186</v>
      </c>
      <c r="J3" s="147" t="s">
        <v>187</v>
      </c>
      <c r="K3" s="148"/>
      <c r="L3" s="147" t="s">
        <v>188</v>
      </c>
    </row>
    <row r="4" spans="1:17" ht="18" customHeight="1">
      <c r="A4" s="145">
        <f>A3+1</f>
        <v>2</v>
      </c>
      <c r="B4" s="146">
        <v>43507</v>
      </c>
      <c r="C4" s="225" t="str">
        <f t="shared" ref="C4:C67" si="0">TEXT(B4,"yyyy-mm")</f>
        <v>2019-02</v>
      </c>
      <c r="D4" s="146">
        <v>43501</v>
      </c>
      <c r="E4" s="147" t="s">
        <v>189</v>
      </c>
      <c r="F4" s="147">
        <v>46400</v>
      </c>
      <c r="G4" s="147" t="s">
        <v>193</v>
      </c>
      <c r="H4" s="147" t="s">
        <v>194</v>
      </c>
      <c r="I4" s="147" t="s">
        <v>195</v>
      </c>
      <c r="J4" s="147" t="s">
        <v>196</v>
      </c>
      <c r="K4" s="148" t="s">
        <v>192</v>
      </c>
      <c r="L4" s="147" t="s">
        <v>190</v>
      </c>
    </row>
    <row r="5" spans="1:17" ht="18" customHeight="1">
      <c r="A5" s="145">
        <f t="shared" ref="A5:A68" si="1">A4+1</f>
        <v>3</v>
      </c>
      <c r="B5" s="146">
        <v>43511</v>
      </c>
      <c r="C5" s="225" t="str">
        <f t="shared" si="0"/>
        <v>2019-02</v>
      </c>
      <c r="D5" s="146">
        <v>43501</v>
      </c>
      <c r="E5" s="147" t="s">
        <v>197</v>
      </c>
      <c r="F5" s="147">
        <v>13440</v>
      </c>
      <c r="G5" s="147" t="s">
        <v>193</v>
      </c>
      <c r="H5" s="147" t="s">
        <v>199</v>
      </c>
      <c r="I5" s="147" t="s">
        <v>200</v>
      </c>
      <c r="J5" s="147">
        <v>123</v>
      </c>
      <c r="K5" s="148" t="s">
        <v>198</v>
      </c>
      <c r="L5" s="147" t="s">
        <v>320</v>
      </c>
    </row>
    <row r="6" spans="1:17" ht="18" customHeight="1">
      <c r="A6" s="145">
        <f t="shared" si="1"/>
        <v>4</v>
      </c>
      <c r="B6" s="146">
        <v>43524</v>
      </c>
      <c r="C6" s="225" t="str">
        <f t="shared" si="0"/>
        <v>2019-02</v>
      </c>
      <c r="D6" s="146">
        <v>43524</v>
      </c>
      <c r="E6" s="147" t="s">
        <v>212</v>
      </c>
      <c r="F6" s="147">
        <v>18100</v>
      </c>
      <c r="G6" s="147" t="str">
        <f>VLOOKUP($E6,$E$3:$L5,COLUMN()-3,)</f>
        <v>217038-52-018959</v>
      </c>
      <c r="H6" s="147" t="str">
        <f>VLOOKUP($E6,$E$3:$L5,COLUMN()-3,)</f>
        <v>김미정</v>
      </c>
      <c r="I6" s="147" t="str">
        <f>VLOOKUP($E6,$E$3:$L5,COLUMN()-3,)</f>
        <v>010-7758-8204</v>
      </c>
      <c r="J6" s="147">
        <f>VLOOKUP($E6,$E$3:$L5,COLUMN()-3,)</f>
        <v>0</v>
      </c>
      <c r="K6" s="147" t="str">
        <f>VLOOKUP($E6,$E$3:$L5,COLUMN()-3,)</f>
        <v>푸른주택관리</v>
      </c>
      <c r="L6" s="147" t="str">
        <f>VLOOKUP($E6,$E$3:$L5,COLUMN()-4,)</f>
        <v>푸른주택관리</v>
      </c>
    </row>
    <row r="7" spans="1:17" ht="18" customHeight="1">
      <c r="A7" s="145">
        <f t="shared" si="1"/>
        <v>5</v>
      </c>
      <c r="B7" s="146">
        <v>43535</v>
      </c>
      <c r="C7" s="225" t="str">
        <f t="shared" si="0"/>
        <v>2019-03</v>
      </c>
      <c r="D7" s="146">
        <v>43530</v>
      </c>
      <c r="E7" s="147" t="s">
        <v>213</v>
      </c>
      <c r="F7" s="147">
        <v>52780</v>
      </c>
      <c r="G7" s="147" t="str">
        <f>VLOOKUP($E7,$E$3:$L6,COLUMN()-3,)</f>
        <v>59504952-497211</v>
      </c>
      <c r="H7" s="147" t="str">
        <f>VLOOKUP($E7,$E$3:$L6,COLUMN()-3,)</f>
        <v>서울도시가스㈜</v>
      </c>
      <c r="I7" s="147" t="str">
        <f>VLOOKUP($E7,$E$3:$L6,COLUMN()-3,)</f>
        <v>031-967-3322</v>
      </c>
      <c r="J7" s="147" t="str">
        <f>VLOOKUP($E7,$E$3:$L6,COLUMN()-3,)</f>
        <v>60057-29175</v>
      </c>
      <c r="K7" s="147" t="str">
        <f>VLOOKUP($E7,$E$3:$L6,COLUMN()-3,)</f>
        <v>카드: www.seoulgas.co.kr</v>
      </c>
      <c r="L7" s="147" t="str">
        <f>VLOOKUP($E7,$E$3:$L6,COLUMN()-4,)</f>
        <v>카드: www.seoulgas.co.kr</v>
      </c>
      <c r="M7" s="33" t="s">
        <v>214</v>
      </c>
    </row>
    <row r="8" spans="1:17" ht="18" customHeight="1">
      <c r="A8" s="145">
        <f t="shared" si="1"/>
        <v>6</v>
      </c>
      <c r="B8" s="146">
        <v>43539</v>
      </c>
      <c r="C8" s="225" t="str">
        <f t="shared" si="0"/>
        <v>2019-03</v>
      </c>
      <c r="D8" s="146">
        <v>43534</v>
      </c>
      <c r="E8" s="147" t="s">
        <v>215</v>
      </c>
      <c r="F8" s="147">
        <v>11810</v>
      </c>
      <c r="G8" s="147" t="str">
        <f>VLOOKUP($E8,$E$3:$L7,COLUMN()-3,)</f>
        <v>594-064307-97-574</v>
      </c>
      <c r="H8" s="147" t="str">
        <f>VLOOKUP($E8,$E$3:$L7,COLUMN()-3,)</f>
        <v>한국전력공사</v>
      </c>
      <c r="I8" s="147">
        <f>VLOOKUP($E8,$E$3:$L7,COLUMN()-3,)</f>
        <v>123</v>
      </c>
      <c r="J8" s="147" t="str">
        <f>VLOOKUP($E8,$E$3:$L7,COLUMN()-3,)</f>
        <v>10-1349-8109</v>
      </c>
      <c r="K8" s="147" t="str">
        <f>VLOOKUP($E8,$E$3:$L7,COLUMN()-3,)</f>
        <v>cyber.kepco.co.kr</v>
      </c>
      <c r="L8" s="147" t="str">
        <f>VLOOKUP($E8,$E$3:$L7,COLUMN()-4,)</f>
        <v>cyber.kepco.co.kr</v>
      </c>
    </row>
    <row r="9" spans="1:17" ht="18" customHeight="1">
      <c r="A9" s="145">
        <f t="shared" si="1"/>
        <v>7</v>
      </c>
      <c r="B9" s="146">
        <v>43555</v>
      </c>
      <c r="C9" s="225" t="str">
        <f t="shared" si="0"/>
        <v>2019-03</v>
      </c>
      <c r="D9" s="146">
        <v>43555</v>
      </c>
      <c r="E9" s="147" t="s">
        <v>216</v>
      </c>
      <c r="F9" s="147">
        <v>18200</v>
      </c>
      <c r="G9" s="147" t="str">
        <f>IF($E9="","",VLOOKUP($E9,$E$3:$L8,COLUMN()-3,))</f>
        <v>217038-52-018959</v>
      </c>
      <c r="H9" s="147" t="str">
        <f>IF($E9="","",VLOOKUP($E9,$E$3:$L8,COLUMN()-3,))</f>
        <v>김미정</v>
      </c>
      <c r="I9" s="147" t="str">
        <f>IF($E9="","",VLOOKUP($E9,$E$3:$L8,COLUMN()-3,))</f>
        <v>010-7758-8204</v>
      </c>
      <c r="J9" s="147">
        <f>IF($E9="","",VLOOKUP($E9,$E$3:$L8,COLUMN()-3,))</f>
        <v>0</v>
      </c>
      <c r="K9" s="147" t="str">
        <f>IF($E9="","",VLOOKUP($E9,$E$3:$L8,COLUMN()-3,))</f>
        <v>푸른주택관리</v>
      </c>
      <c r="L9" s="147" t="str">
        <f>VLOOKUP($E9,$E$3:$L8,COLUMN()-4,)</f>
        <v>푸른주택관리</v>
      </c>
    </row>
    <row r="10" spans="1:17" ht="18" customHeight="1">
      <c r="A10" s="145">
        <f t="shared" si="1"/>
        <v>8</v>
      </c>
      <c r="B10" s="146">
        <v>43565</v>
      </c>
      <c r="C10" s="225" t="str">
        <f t="shared" si="0"/>
        <v>2019-04</v>
      </c>
      <c r="D10" s="146">
        <v>43564</v>
      </c>
      <c r="E10" s="147" t="s">
        <v>217</v>
      </c>
      <c r="F10" s="147">
        <v>35980</v>
      </c>
      <c r="G10" s="147" t="str">
        <f>IF($E10="","",VLOOKUP($E10,$E$3:$L9,COLUMN()-3,))</f>
        <v>59504952-497211</v>
      </c>
      <c r="H10" s="147" t="str">
        <f>IF($E10="","",VLOOKUP($E10,$E$3:$L9,COLUMN()-3,))</f>
        <v>서울도시가스㈜</v>
      </c>
      <c r="I10" s="147" t="str">
        <f>IF($E10="","",VLOOKUP($E10,$E$3:$L9,COLUMN()-3,))</f>
        <v>031-967-3322</v>
      </c>
      <c r="J10" s="147" t="str">
        <f>IF($E10="","",VLOOKUP($E10,$E$3:$L9,COLUMN()-3,))</f>
        <v>60057-29175</v>
      </c>
      <c r="K10" s="147" t="str">
        <f>IF($E10="","",VLOOKUP($E10,$E$3:$L9,COLUMN()-3,))</f>
        <v>카드: www.seoulgas.co.kr</v>
      </c>
      <c r="L10" s="147" t="str">
        <f>VLOOKUP($E10,$E$3:$L9,COLUMN()-4,)</f>
        <v>카드: www.seoulgas.co.kr</v>
      </c>
      <c r="M10" s="33" t="s">
        <v>219</v>
      </c>
    </row>
    <row r="11" spans="1:17" ht="18" customHeight="1">
      <c r="A11" s="145">
        <f t="shared" si="1"/>
        <v>9</v>
      </c>
      <c r="B11" s="146">
        <v>43570</v>
      </c>
      <c r="C11" s="225" t="str">
        <f t="shared" si="0"/>
        <v>2019-04</v>
      </c>
      <c r="D11" s="146">
        <v>43564</v>
      </c>
      <c r="E11" s="147" t="s">
        <v>218</v>
      </c>
      <c r="F11" s="147">
        <v>10010</v>
      </c>
      <c r="G11" s="147" t="str">
        <f>IF($E11="","",VLOOKUP($E11,$E$3:$L10,COLUMN()-3,))</f>
        <v>594-064307-97-574</v>
      </c>
      <c r="H11" s="147" t="str">
        <f>IF($E11="","",VLOOKUP($E11,$E$3:$L10,COLUMN()-3,))</f>
        <v>한국전력공사</v>
      </c>
      <c r="I11" s="147">
        <f>IF($E11="","",VLOOKUP($E11,$E$3:$L10,COLUMN()-3,))</f>
        <v>123</v>
      </c>
      <c r="J11" s="147" t="str">
        <f>IF($E11="","",VLOOKUP($E11,$E$3:$L10,COLUMN()-3,))</f>
        <v>10-1349-8109</v>
      </c>
      <c r="K11" s="147" t="str">
        <f>IF($E11="","",VLOOKUP($E11,$E$3:$L10,COLUMN()-3,))</f>
        <v>cyber.kepco.co.kr</v>
      </c>
      <c r="L11" s="147" t="str">
        <f>VLOOKUP($E11,$E$3:$L10,COLUMN()-4,)</f>
        <v>cyber.kepco.co.kr</v>
      </c>
    </row>
    <row r="12" spans="1:17" ht="18" customHeight="1">
      <c r="A12" s="145">
        <f t="shared" si="1"/>
        <v>10</v>
      </c>
      <c r="B12" s="146">
        <v>43585</v>
      </c>
      <c r="C12" s="225" t="str">
        <f t="shared" si="0"/>
        <v>2019-04</v>
      </c>
      <c r="D12" s="146">
        <v>43591</v>
      </c>
      <c r="E12" s="147" t="s">
        <v>175</v>
      </c>
      <c r="F12" s="147">
        <v>18900</v>
      </c>
      <c r="G12" s="147" t="str">
        <f>IF($E12="","",VLOOKUP($E12,$E$3:$L11,COLUMN()-3,))</f>
        <v>217038-52-018959</v>
      </c>
      <c r="H12" s="147" t="str">
        <f>IF($E12="","",VLOOKUP($E12,$E$3:$L11,COLUMN()-3,))</f>
        <v>김미정</v>
      </c>
      <c r="I12" s="147" t="str">
        <f>IF($E12="","",VLOOKUP($E12,$E$3:$L11,COLUMN()-3,))</f>
        <v>010-7758-8204</v>
      </c>
      <c r="J12" s="147">
        <f>IF($E12="","",VLOOKUP($E12,$E$3:$L11,COLUMN()-3,))</f>
        <v>0</v>
      </c>
      <c r="K12" s="147" t="str">
        <f>IF($E12="","",VLOOKUP($E12,$E$3:$L11,COLUMN()-3,))</f>
        <v>푸른주택관리</v>
      </c>
      <c r="L12" s="147" t="str">
        <f>VLOOKUP($E12,$E$3:$L11,COLUMN()-4,)</f>
        <v>푸른주택관리</v>
      </c>
    </row>
    <row r="13" spans="1:17" ht="18" customHeight="1">
      <c r="A13" s="145">
        <f t="shared" si="1"/>
        <v>11</v>
      </c>
      <c r="B13" s="146">
        <v>43595</v>
      </c>
      <c r="C13" s="225" t="str">
        <f t="shared" si="0"/>
        <v>2019-05</v>
      </c>
      <c r="D13" s="146">
        <v>43591</v>
      </c>
      <c r="E13" s="147" t="s">
        <v>189</v>
      </c>
      <c r="F13" s="147">
        <v>30920</v>
      </c>
      <c r="G13" s="147" t="str">
        <f>IF($E13="","",VLOOKUP($E13,$E$3:$L12,COLUMN()-3,))</f>
        <v>59504952-497211</v>
      </c>
      <c r="H13" s="147" t="str">
        <f>IF($E13="","",VLOOKUP($E13,$E$3:$L12,COLUMN()-3,))</f>
        <v>서울도시가스㈜</v>
      </c>
      <c r="I13" s="147" t="str">
        <f>IF($E13="","",VLOOKUP($E13,$E$3:$L12,COLUMN()-3,))</f>
        <v>031-967-3322</v>
      </c>
      <c r="J13" s="147" t="str">
        <f>IF($E13="","",VLOOKUP($E13,$E$3:$L12,COLUMN()-3,))</f>
        <v>60057-29175</v>
      </c>
      <c r="K13" s="147" t="str">
        <f>IF($E13="","",VLOOKUP($E13,$E$3:$L12,COLUMN()-3,))</f>
        <v>카드: www.seoulgas.co.kr</v>
      </c>
      <c r="L13" s="147" t="str">
        <f>VLOOKUP($E13,$E$3:$L12,COLUMN()-4,)</f>
        <v>카드: www.seoulgas.co.kr</v>
      </c>
      <c r="M13" s="33" t="s">
        <v>223</v>
      </c>
    </row>
    <row r="14" spans="1:17" ht="18" customHeight="1">
      <c r="A14" s="145">
        <f t="shared" si="1"/>
        <v>12</v>
      </c>
      <c r="B14" s="146">
        <v>43600</v>
      </c>
      <c r="C14" s="225" t="str">
        <f t="shared" si="0"/>
        <v>2019-05</v>
      </c>
      <c r="D14" s="146">
        <v>43591</v>
      </c>
      <c r="E14" s="147" t="s">
        <v>197</v>
      </c>
      <c r="F14" s="147">
        <v>9680</v>
      </c>
      <c r="G14" s="147" t="str">
        <f>IF($E14="","",VLOOKUP($E14,$E$3:$L13,COLUMN()-3,))</f>
        <v>594-064307-97-574</v>
      </c>
      <c r="H14" s="147" t="str">
        <f>IF($E14="","",VLOOKUP($E14,$E$3:$L13,COLUMN()-3,))</f>
        <v>한국전력공사</v>
      </c>
      <c r="I14" s="147">
        <f>IF($E14="","",VLOOKUP($E14,$E$3:$L13,COLUMN()-3,))</f>
        <v>123</v>
      </c>
      <c r="J14" s="147" t="str">
        <f>IF($E14="","",VLOOKUP($E14,$E$3:$L13,COLUMN()-3,))</f>
        <v>10-1349-8109</v>
      </c>
      <c r="K14" s="147" t="str">
        <f>IF($E14="","",VLOOKUP($E14,$E$3:$L13,COLUMN()-3,))</f>
        <v>cyber.kepco.co.kr</v>
      </c>
      <c r="L14" s="147" t="str">
        <f>VLOOKUP($E14,$E$3:$L13,COLUMN()-4,)</f>
        <v>cyber.kepco.co.kr</v>
      </c>
    </row>
    <row r="15" spans="1:17" ht="18" customHeight="1">
      <c r="A15" s="145">
        <f t="shared" si="1"/>
        <v>13</v>
      </c>
      <c r="B15" s="146">
        <v>43616</v>
      </c>
      <c r="C15" s="225" t="str">
        <f t="shared" si="0"/>
        <v>2019-05</v>
      </c>
      <c r="D15" s="146">
        <v>43616</v>
      </c>
      <c r="E15" s="147" t="s">
        <v>175</v>
      </c>
      <c r="F15" s="147">
        <v>17500</v>
      </c>
      <c r="G15" s="147" t="str">
        <f>IF($E15="","",VLOOKUP($E15,$E$3:$L14,COLUMN()-3,))</f>
        <v>217038-52-018959</v>
      </c>
      <c r="H15" s="147" t="str">
        <f>IF($E15="","",VLOOKUP($E15,$E$3:$L14,COLUMN()-3,))</f>
        <v>김미정</v>
      </c>
      <c r="I15" s="147" t="str">
        <f>IF($E15="","",VLOOKUP($E15,$E$3:$L14,COLUMN()-3,))</f>
        <v>010-7758-8204</v>
      </c>
      <c r="J15" s="147">
        <f>IF($E15="","",VLOOKUP($E15,$E$3:$L14,COLUMN()-3,))</f>
        <v>0</v>
      </c>
      <c r="K15" s="147" t="str">
        <f>IF($E15="","",VLOOKUP($E15,$E$3:$L14,COLUMN()-3,))</f>
        <v>푸른주택관리</v>
      </c>
      <c r="L15" s="147" t="str">
        <f>VLOOKUP($E15,$E$3:$L14,COLUMN()-4,)</f>
        <v>푸른주택관리</v>
      </c>
    </row>
    <row r="16" spans="1:17" ht="18" customHeight="1">
      <c r="A16" s="145">
        <f t="shared" si="1"/>
        <v>14</v>
      </c>
      <c r="B16" s="146">
        <v>43625</v>
      </c>
      <c r="C16" s="225" t="str">
        <f t="shared" si="0"/>
        <v>2019-06</v>
      </c>
      <c r="D16" s="146">
        <v>43626</v>
      </c>
      <c r="E16" s="147" t="s">
        <v>189</v>
      </c>
      <c r="F16" s="147">
        <v>17070</v>
      </c>
      <c r="G16" s="147" t="str">
        <f>IF($E16="","",VLOOKUP($E16,$E$3:$L15,COLUMN()-3,))</f>
        <v>59504952-497211</v>
      </c>
      <c r="H16" s="147" t="str">
        <f>IF($E16="","",VLOOKUP($E16,$E$3:$L15,COLUMN()-3,))</f>
        <v>서울도시가스㈜</v>
      </c>
      <c r="I16" s="147" t="str">
        <f>IF($E16="","",VLOOKUP($E16,$E$3:$L15,COLUMN()-3,))</f>
        <v>031-967-3322</v>
      </c>
      <c r="J16" s="147" t="str">
        <f>IF($E16="","",VLOOKUP($E16,$E$3:$L15,COLUMN()-3,))</f>
        <v>60057-29175</v>
      </c>
      <c r="K16" s="147" t="str">
        <f>IF($E16="","",VLOOKUP($E16,$E$3:$L15,COLUMN()-3,))</f>
        <v>카드: www.seoulgas.co.kr</v>
      </c>
      <c r="L16" s="147" t="str">
        <f>VLOOKUP($E16,$E$3:$L15,COLUMN()-4,)</f>
        <v>카드: www.seoulgas.co.kr</v>
      </c>
      <c r="M16" s="33" t="s">
        <v>224</v>
      </c>
    </row>
    <row r="17" spans="1:13" ht="18" customHeight="1">
      <c r="A17" s="145">
        <f t="shared" si="1"/>
        <v>15</v>
      </c>
      <c r="B17" s="146">
        <v>43628</v>
      </c>
      <c r="C17" s="225" t="str">
        <f t="shared" si="0"/>
        <v>2019-06</v>
      </c>
      <c r="D17" s="146">
        <v>43631</v>
      </c>
      <c r="E17" s="147" t="s">
        <v>197</v>
      </c>
      <c r="F17" s="147">
        <v>9990</v>
      </c>
      <c r="G17" s="147" t="str">
        <f>IF($E17="","",VLOOKUP($E17,$E$3:$L16,COLUMN()-3,))</f>
        <v>594-064307-97-574</v>
      </c>
      <c r="H17" s="147" t="str">
        <f>IF($E17="","",VLOOKUP($E17,$E$3:$L16,COLUMN()-3,))</f>
        <v>한국전력공사</v>
      </c>
      <c r="I17" s="147">
        <f>IF($E17="","",VLOOKUP($E17,$E$3:$L16,COLUMN()-3,))</f>
        <v>123</v>
      </c>
      <c r="J17" s="147" t="str">
        <f>IF($E17="","",VLOOKUP($E17,$E$3:$L16,COLUMN()-3,))</f>
        <v>10-1349-8109</v>
      </c>
      <c r="K17" s="147" t="str">
        <f>IF($E17="","",VLOOKUP($E17,$E$3:$L16,COLUMN()-3,))</f>
        <v>cyber.kepco.co.kr</v>
      </c>
      <c r="L17" s="147" t="str">
        <f>VLOOKUP($E17,$E$3:$L16,COLUMN()-4,)</f>
        <v>cyber.kepco.co.kr</v>
      </c>
    </row>
    <row r="18" spans="1:13" ht="18" customHeight="1">
      <c r="A18" s="145">
        <f t="shared" si="1"/>
        <v>16</v>
      </c>
      <c r="B18" s="146">
        <v>43647</v>
      </c>
      <c r="C18" s="225" t="str">
        <f t="shared" si="0"/>
        <v>2019-07</v>
      </c>
      <c r="D18" s="146">
        <v>43646</v>
      </c>
      <c r="E18" s="147" t="s">
        <v>225</v>
      </c>
      <c r="F18" s="147">
        <v>18700</v>
      </c>
      <c r="G18" s="147" t="str">
        <f>IF($E18="","",VLOOKUP($E18,$E$3:$L17,COLUMN()-3,))</f>
        <v>217038-52-018959</v>
      </c>
      <c r="H18" s="147" t="str">
        <f>IF($E18="","",VLOOKUP($E18,$E$3:$L17,COLUMN()-3,))</f>
        <v>김미정</v>
      </c>
      <c r="I18" s="147" t="str">
        <f>IF($E18="","",VLOOKUP($E18,$E$3:$L17,COLUMN()-3,))</f>
        <v>010-7758-8204</v>
      </c>
      <c r="J18" s="147">
        <f>IF($E18="","",VLOOKUP($E18,$E$3:$L17,COLUMN()-3,))</f>
        <v>0</v>
      </c>
      <c r="K18" s="147" t="str">
        <f>IF($E18="","",VLOOKUP($E18,$E$3:$L17,COLUMN()-3,))</f>
        <v>푸른주택관리</v>
      </c>
      <c r="L18" s="147" t="str">
        <f>VLOOKUP($E18,$E$3:$L17,COLUMN()-4,)</f>
        <v>푸른주택관리</v>
      </c>
    </row>
    <row r="19" spans="1:13" ht="18" customHeight="1">
      <c r="A19" s="145">
        <f t="shared" si="1"/>
        <v>17</v>
      </c>
      <c r="B19" s="146">
        <v>43659</v>
      </c>
      <c r="C19" s="225" t="str">
        <f t="shared" si="0"/>
        <v>2019-07</v>
      </c>
      <c r="D19" s="146">
        <v>43656</v>
      </c>
      <c r="E19" s="147" t="s">
        <v>228</v>
      </c>
      <c r="F19" s="147">
        <v>1660</v>
      </c>
      <c r="G19" s="147" t="str">
        <f>IF($E19="","",VLOOKUP($E19,$E$3:$L18,COLUMN()-3,))</f>
        <v>59504952-497211</v>
      </c>
      <c r="H19" s="147" t="str">
        <f>IF($E19="","",VLOOKUP($E19,$E$3:$L18,COLUMN()-3,))</f>
        <v>서울도시가스㈜</v>
      </c>
      <c r="I19" s="147" t="str">
        <f>IF($E19="","",VLOOKUP($E19,$E$3:$L18,COLUMN()-3,))</f>
        <v>031-967-3322</v>
      </c>
      <c r="J19" s="147" t="str">
        <f>IF($E19="","",VLOOKUP($E19,$E$3:$L18,COLUMN()-3,))</f>
        <v>60057-29175</v>
      </c>
      <c r="K19" s="147" t="str">
        <f>IF($E19="","",VLOOKUP($E19,$E$3:$L18,COLUMN()-3,))</f>
        <v>카드: www.seoulgas.co.kr</v>
      </c>
      <c r="L19" s="147" t="str">
        <f>VLOOKUP($E19,$E$3:$L18,COLUMN()-4,)</f>
        <v>카드: www.seoulgas.co.kr</v>
      </c>
    </row>
    <row r="20" spans="1:13" ht="18" customHeight="1">
      <c r="A20" s="145">
        <f t="shared" si="1"/>
        <v>18</v>
      </c>
      <c r="B20" s="146">
        <v>43659</v>
      </c>
      <c r="C20" s="225" t="str">
        <f t="shared" si="0"/>
        <v>2019-07</v>
      </c>
      <c r="D20" s="146">
        <v>43661</v>
      </c>
      <c r="E20" s="147" t="s">
        <v>229</v>
      </c>
      <c r="F20" s="147">
        <v>11580</v>
      </c>
      <c r="G20" s="147" t="str">
        <f>IF($E20="","",VLOOKUP($E20,$E$3:$L19,COLUMN()-3,))</f>
        <v>594-064307-97-574</v>
      </c>
      <c r="H20" s="147" t="str">
        <f>IF($E20="","",VLOOKUP($E20,$E$3:$L19,COLUMN()-3,))</f>
        <v>한국전력공사</v>
      </c>
      <c r="I20" s="147">
        <f>IF($E20="","",VLOOKUP($E20,$E$3:$L19,COLUMN()-3,))</f>
        <v>123</v>
      </c>
      <c r="J20" s="147" t="str">
        <f>IF($E20="","",VLOOKUP($E20,$E$3:$L19,COLUMN()-3,))</f>
        <v>10-1349-8109</v>
      </c>
      <c r="K20" s="147" t="str">
        <f>IF($E20="","",VLOOKUP($E20,$E$3:$L19,COLUMN()-3,))</f>
        <v>cyber.kepco.co.kr</v>
      </c>
      <c r="L20" s="147" t="str">
        <f>VLOOKUP($E20,$E$3:$L19,COLUMN()-4,)</f>
        <v>cyber.kepco.co.kr</v>
      </c>
    </row>
    <row r="21" spans="1:13" ht="18" customHeight="1">
      <c r="A21" s="145">
        <f t="shared" si="1"/>
        <v>19</v>
      </c>
      <c r="B21" s="146">
        <v>43677</v>
      </c>
      <c r="C21" s="225" t="str">
        <f t="shared" si="0"/>
        <v>2019-07</v>
      </c>
      <c r="D21" s="146">
        <v>43677</v>
      </c>
      <c r="E21" s="147" t="s">
        <v>230</v>
      </c>
      <c r="F21" s="147">
        <v>18300</v>
      </c>
      <c r="G21" s="147" t="str">
        <f>IF($E21="","",VLOOKUP($E21,$E$3:$L20,COLUMN()-3,))</f>
        <v>217038-52-018959</v>
      </c>
      <c r="H21" s="147" t="str">
        <f>IF($E21="","",VLOOKUP($E21,$E$3:$L20,COLUMN()-3,))</f>
        <v>김미정</v>
      </c>
      <c r="I21" s="147" t="str">
        <f>IF($E21="","",VLOOKUP($E21,$E$3:$L20,COLUMN()-3,))</f>
        <v>010-7758-8204</v>
      </c>
      <c r="J21" s="147">
        <f>IF($E21="","",VLOOKUP($E21,$E$3:$L20,COLUMN()-3,))</f>
        <v>0</v>
      </c>
      <c r="K21" s="147" t="str">
        <f>IF($E21="","",VLOOKUP($E21,$E$3:$L20,COLUMN()-3,))</f>
        <v>푸른주택관리</v>
      </c>
      <c r="L21" s="147" t="str">
        <f>VLOOKUP($E21,$E$3:$L20,COLUMN()-4,)</f>
        <v>푸른주택관리</v>
      </c>
    </row>
    <row r="22" spans="1:13" ht="18" customHeight="1">
      <c r="A22" s="145">
        <f t="shared" si="1"/>
        <v>20</v>
      </c>
      <c r="B22" s="146">
        <v>43691</v>
      </c>
      <c r="C22" s="225" t="str">
        <f t="shared" si="0"/>
        <v>2019-08</v>
      </c>
      <c r="D22" s="146">
        <v>43687</v>
      </c>
      <c r="E22" s="147" t="s">
        <v>244</v>
      </c>
      <c r="F22" s="147">
        <v>1670</v>
      </c>
      <c r="G22" s="147" t="str">
        <f>IF($E22="","",VLOOKUP($E22,$E$3:$L21,COLUMN()-3,))</f>
        <v>59504952-497211</v>
      </c>
      <c r="H22" s="147" t="str">
        <f>IF($E22="","",VLOOKUP($E22,$E$3:$L21,COLUMN()-3,))</f>
        <v>서울도시가스㈜</v>
      </c>
      <c r="I22" s="147" t="str">
        <f>IF($E22="","",VLOOKUP($E22,$E$3:$L21,COLUMN()-3,))</f>
        <v>031-967-3322</v>
      </c>
      <c r="J22" s="147" t="str">
        <f>IF($E22="","",VLOOKUP($E22,$E$3:$L21,COLUMN()-3,))</f>
        <v>60057-29175</v>
      </c>
      <c r="K22" s="147" t="str">
        <f>IF($E22="","",VLOOKUP($E22,$E$3:$L21,COLUMN()-3,))</f>
        <v>카드: www.seoulgas.co.kr</v>
      </c>
      <c r="L22" s="147" t="str">
        <f>VLOOKUP($E22,$E$3:$L21,COLUMN()-4,)</f>
        <v>카드: www.seoulgas.co.kr</v>
      </c>
    </row>
    <row r="23" spans="1:13" ht="18" customHeight="1">
      <c r="A23" s="145">
        <f t="shared" si="1"/>
        <v>21</v>
      </c>
      <c r="B23" s="146">
        <v>43691</v>
      </c>
      <c r="C23" s="225" t="str">
        <f t="shared" si="0"/>
        <v>2019-08</v>
      </c>
      <c r="D23" s="146">
        <v>43692</v>
      </c>
      <c r="E23" s="147" t="s">
        <v>245</v>
      </c>
      <c r="F23" s="147">
        <v>26410</v>
      </c>
      <c r="G23" s="147" t="str">
        <f>IF($E23="","",VLOOKUP($E23,$E$3:$L22,COLUMN()-3,))</f>
        <v>594-064307-97-574</v>
      </c>
      <c r="H23" s="147" t="str">
        <f>IF($E23="","",VLOOKUP($E23,$E$3:$L22,COLUMN()-3,))</f>
        <v>한국전력공사</v>
      </c>
      <c r="I23" s="147">
        <f>IF($E23="","",VLOOKUP($E23,$E$3:$L22,COLUMN()-3,))</f>
        <v>123</v>
      </c>
      <c r="J23" s="147" t="str">
        <f>IF($E23="","",VLOOKUP($E23,$E$3:$L22,COLUMN()-3,))</f>
        <v>10-1349-8109</v>
      </c>
      <c r="K23" s="147" t="str">
        <f>IF($E23="","",VLOOKUP($E23,$E$3:$L22,COLUMN()-3,))</f>
        <v>cyber.kepco.co.kr</v>
      </c>
      <c r="L23" s="147" t="str">
        <f>VLOOKUP($E23,$E$3:$L22,COLUMN()-4,)</f>
        <v>cyber.kepco.co.kr</v>
      </c>
      <c r="M23" s="33" t="s">
        <v>256</v>
      </c>
    </row>
    <row r="24" spans="1:13" ht="18" customHeight="1">
      <c r="A24" s="145">
        <f t="shared" si="1"/>
        <v>22</v>
      </c>
      <c r="B24" s="146">
        <v>43709</v>
      </c>
      <c r="C24" s="225" t="str">
        <f t="shared" si="0"/>
        <v>2019-09</v>
      </c>
      <c r="D24" s="146">
        <v>43708</v>
      </c>
      <c r="E24" s="147" t="s">
        <v>246</v>
      </c>
      <c r="F24" s="147">
        <v>18600</v>
      </c>
      <c r="G24" s="147" t="str">
        <f>IF($E24="","",VLOOKUP($E24,$E$3:$L23,COLUMN()-3,))</f>
        <v>217038-52-018959</v>
      </c>
      <c r="H24" s="147" t="str">
        <f>IF($E24="","",VLOOKUP($E24,$E$3:$L23,COLUMN()-3,))</f>
        <v>김미정</v>
      </c>
      <c r="I24" s="147" t="str">
        <f>IF($E24="","",VLOOKUP($E24,$E$3:$L23,COLUMN()-3,))</f>
        <v>010-7758-8204</v>
      </c>
      <c r="J24" s="147">
        <f>IF($E24="","",VLOOKUP($E24,$E$3:$L23,COLUMN()-3,))</f>
        <v>0</v>
      </c>
      <c r="K24" s="147" t="str">
        <f>IF($E24="","",VLOOKUP($E24,$E$3:$L23,COLUMN()-3,))</f>
        <v>푸른주택관리</v>
      </c>
      <c r="L24" s="147" t="str">
        <f>VLOOKUP($E24,$E$3:$L23,COLUMN()-4,)</f>
        <v>푸른주택관리</v>
      </c>
      <c r="M24" s="33" t="s">
        <v>256</v>
      </c>
    </row>
    <row r="25" spans="1:13" ht="18" customHeight="1">
      <c r="A25" s="145">
        <f t="shared" si="1"/>
        <v>23</v>
      </c>
      <c r="B25" s="146">
        <v>43709</v>
      </c>
      <c r="C25" s="225" t="str">
        <f t="shared" si="0"/>
        <v>2019-09</v>
      </c>
      <c r="D25" s="146">
        <v>43710</v>
      </c>
      <c r="E25" s="147" t="s">
        <v>247</v>
      </c>
      <c r="F25" s="147">
        <v>12500</v>
      </c>
      <c r="G25" s="147" t="s">
        <v>248</v>
      </c>
      <c r="H25" s="147" t="s">
        <v>249</v>
      </c>
      <c r="I25" s="147" t="s">
        <v>250</v>
      </c>
      <c r="J25" s="147" t="s">
        <v>251</v>
      </c>
      <c r="K25" s="147" t="s">
        <v>252</v>
      </c>
      <c r="L25" s="147" t="e">
        <f>VLOOKUP($E25,$E$3:$L24,COLUMN()-4,)</f>
        <v>#N/A</v>
      </c>
      <c r="M25" s="33" t="s">
        <v>257</v>
      </c>
    </row>
    <row r="26" spans="1:13" ht="18" customHeight="1">
      <c r="A26" s="145">
        <f t="shared" si="1"/>
        <v>24</v>
      </c>
      <c r="B26" s="146">
        <v>43716</v>
      </c>
      <c r="C26" s="225" t="str">
        <f t="shared" si="0"/>
        <v>2019-09</v>
      </c>
      <c r="D26" s="146">
        <v>43718</v>
      </c>
      <c r="E26" s="147" t="s">
        <v>253</v>
      </c>
      <c r="F26" s="147">
        <v>930</v>
      </c>
      <c r="G26" s="147" t="str">
        <f>IF($E26="","",VLOOKUP($E26,$E$3:$L25,COLUMN()-3,))</f>
        <v>59504952-497211</v>
      </c>
      <c r="H26" s="147" t="str">
        <f>IF($E26="","",VLOOKUP($E26,$E$3:$L25,COLUMN()-3,))</f>
        <v>서울도시가스㈜</v>
      </c>
      <c r="I26" s="147" t="str">
        <f>IF($E26="","",VLOOKUP($E26,$E$3:$L25,COLUMN()-3,))</f>
        <v>031-967-3322</v>
      </c>
      <c r="J26" s="147" t="str">
        <f>IF($E26="","",VLOOKUP($E26,$E$3:$L25,COLUMN()-3,))</f>
        <v>60057-29175</v>
      </c>
      <c r="K26" s="147" t="str">
        <f>IF($E26="","",VLOOKUP($E26,$E$3:$L25,COLUMN()-3,))</f>
        <v>카드: www.seoulgas.co.kr</v>
      </c>
      <c r="L26" s="147" t="str">
        <f>VLOOKUP($E26,$E$3:$L25,COLUMN()-4,)</f>
        <v>카드: www.seoulgas.co.kr</v>
      </c>
      <c r="M26" s="33" t="s">
        <v>255</v>
      </c>
    </row>
    <row r="27" spans="1:13" ht="18" customHeight="1">
      <c r="A27" s="145">
        <f t="shared" si="1"/>
        <v>25</v>
      </c>
      <c r="B27" s="146">
        <v>43716</v>
      </c>
      <c r="C27" s="225" t="str">
        <f t="shared" si="0"/>
        <v>2019-09</v>
      </c>
      <c r="D27" s="146">
        <v>43723</v>
      </c>
      <c r="E27" s="147" t="s">
        <v>254</v>
      </c>
      <c r="F27" s="147">
        <v>19760</v>
      </c>
      <c r="G27" s="147" t="str">
        <f>IF($E27="","",VLOOKUP($E27,$E$3:$L26,COLUMN()-3,))</f>
        <v>594-064307-97-574</v>
      </c>
      <c r="H27" s="147" t="str">
        <f>IF($E27="","",VLOOKUP($E27,$E$3:$L26,COLUMN()-3,))</f>
        <v>한국전력공사</v>
      </c>
      <c r="I27" s="147">
        <f>IF($E27="","",VLOOKUP($E27,$E$3:$L26,COLUMN()-3,))</f>
        <v>123</v>
      </c>
      <c r="J27" s="147" t="str">
        <f>IF($E27="","",VLOOKUP($E27,$E$3:$L26,COLUMN()-3,))</f>
        <v>10-1349-8109</v>
      </c>
      <c r="K27" s="147" t="str">
        <f>IF($E27="","",VLOOKUP($E27,$E$3:$L26,COLUMN()-3,))</f>
        <v>cyber.kepco.co.kr</v>
      </c>
      <c r="L27" s="147" t="str">
        <f>VLOOKUP($E27,$E$3:$L26,COLUMN()-4,)</f>
        <v>cyber.kepco.co.kr</v>
      </c>
    </row>
    <row r="28" spans="1:13" ht="18" customHeight="1">
      <c r="A28" s="145">
        <f t="shared" si="1"/>
        <v>26</v>
      </c>
      <c r="B28" s="146">
        <v>43718</v>
      </c>
      <c r="C28" s="225" t="str">
        <f t="shared" si="0"/>
        <v>2019-09</v>
      </c>
      <c r="D28" s="146">
        <v>43731</v>
      </c>
      <c r="E28" s="147" t="s">
        <v>258</v>
      </c>
      <c r="F28" s="147">
        <v>32000</v>
      </c>
      <c r="G28" s="147" t="s">
        <v>261</v>
      </c>
      <c r="H28" s="147" t="s">
        <v>262</v>
      </c>
      <c r="I28" s="147" t="s">
        <v>263</v>
      </c>
      <c r="J28" s="147" t="s">
        <v>264</v>
      </c>
      <c r="K28" s="147" t="str">
        <f>H28</f>
        <v>41281-2-19-61-500772788</v>
      </c>
      <c r="L28" s="147" t="s">
        <v>415</v>
      </c>
    </row>
    <row r="29" spans="1:13" ht="18" customHeight="1">
      <c r="A29" s="145">
        <f t="shared" si="1"/>
        <v>27</v>
      </c>
      <c r="B29" s="146">
        <v>43743</v>
      </c>
      <c r="C29" s="225" t="str">
        <f t="shared" si="0"/>
        <v>2019-10</v>
      </c>
      <c r="D29" s="146">
        <v>43738</v>
      </c>
      <c r="E29" s="147" t="s">
        <v>259</v>
      </c>
      <c r="F29" s="147">
        <v>19750</v>
      </c>
      <c r="G29" s="147" t="s">
        <v>261</v>
      </c>
      <c r="H29" s="147"/>
      <c r="I29" s="147" t="s">
        <v>265</v>
      </c>
      <c r="J29" s="147"/>
      <c r="K29" s="147"/>
      <c r="L29" s="147" t="s">
        <v>260</v>
      </c>
    </row>
    <row r="30" spans="1:13" ht="18" customHeight="1">
      <c r="A30" s="145">
        <f t="shared" si="1"/>
        <v>28</v>
      </c>
      <c r="B30" s="146">
        <v>43738</v>
      </c>
      <c r="C30" s="225" t="str">
        <f t="shared" si="0"/>
        <v>2019-09</v>
      </c>
      <c r="D30" s="146">
        <v>43770</v>
      </c>
      <c r="E30" s="147" t="s">
        <v>267</v>
      </c>
      <c r="F30" s="147">
        <v>17900</v>
      </c>
      <c r="G30" s="147" t="str">
        <f>IF($E30="","",VLOOKUP($E30,$E$3:$L29,COLUMN()-3,))</f>
        <v>217038-52-018959</v>
      </c>
      <c r="H30" s="147" t="str">
        <f>IF($E30="","",VLOOKUP($E30,$E$3:$L29,COLUMN()-3,))</f>
        <v>김미정</v>
      </c>
      <c r="I30" s="147" t="str">
        <f>IF($E30="","",VLOOKUP($E30,$E$3:$L29,COLUMN()-3,))</f>
        <v>010-7758-8204</v>
      </c>
      <c r="J30" s="147">
        <f>IF($E30="","",VLOOKUP($E30,$E$3:$L29,COLUMN()-3,))</f>
        <v>0</v>
      </c>
      <c r="K30" s="147" t="str">
        <f>IF($E30="","",VLOOKUP($E30,$E$3:$L29,COLUMN()-3,))</f>
        <v>푸른주택관리</v>
      </c>
      <c r="L30" s="147" t="str">
        <f>VLOOKUP($E30,$E$3:$L29,COLUMN()-4,)</f>
        <v>푸른주택관리</v>
      </c>
    </row>
    <row r="31" spans="1:13" ht="18" customHeight="1">
      <c r="A31" s="145">
        <f t="shared" si="1"/>
        <v>29</v>
      </c>
      <c r="B31" s="146">
        <v>43769</v>
      </c>
      <c r="C31" s="225" t="str">
        <f t="shared" si="0"/>
        <v>2019-10</v>
      </c>
      <c r="D31" s="146">
        <v>43770</v>
      </c>
      <c r="E31" s="147" t="s">
        <v>267</v>
      </c>
      <c r="F31" s="147">
        <v>18400</v>
      </c>
      <c r="G31" s="147" t="str">
        <f>IF($E31="","",VLOOKUP($E31,$E$3:$L30,COLUMN()-3,))</f>
        <v>217038-52-018959</v>
      </c>
      <c r="H31" s="147" t="str">
        <f>IF($E31="","",VLOOKUP($E31,$E$3:$L30,COLUMN()-3,))</f>
        <v>김미정</v>
      </c>
      <c r="I31" s="147" t="str">
        <f>IF($E31="","",VLOOKUP($E31,$E$3:$L30,COLUMN()-3,))</f>
        <v>010-7758-8204</v>
      </c>
      <c r="J31" s="147">
        <f>IF($E31="","",VLOOKUP($E31,$E$3:$L30,COLUMN()-3,))</f>
        <v>0</v>
      </c>
      <c r="K31" s="147" t="str">
        <f>IF($E31="","",VLOOKUP($E31,$E$3:$L30,COLUMN()-3,))</f>
        <v>푸른주택관리</v>
      </c>
      <c r="L31" s="147" t="str">
        <f>VLOOKUP($E31,$E$3:$L30,COLUMN()-4,)</f>
        <v>푸른주택관리</v>
      </c>
    </row>
    <row r="32" spans="1:13" ht="18" customHeight="1">
      <c r="A32" s="145">
        <f t="shared" si="1"/>
        <v>30</v>
      </c>
      <c r="B32" s="146">
        <v>43749</v>
      </c>
      <c r="C32" s="225" t="str">
        <f t="shared" si="0"/>
        <v>2019-10</v>
      </c>
      <c r="D32" s="146">
        <v>43778</v>
      </c>
      <c r="E32" s="147" t="s">
        <v>268</v>
      </c>
      <c r="F32" s="147">
        <v>930</v>
      </c>
      <c r="G32" s="147" t="str">
        <f>IF($E32="","",VLOOKUP($E32,$E$3:$L31,COLUMN()-3,))</f>
        <v>59504952-497211</v>
      </c>
      <c r="H32" s="147" t="str">
        <f>IF($E32="","",VLOOKUP($E32,$E$3:$L31,COLUMN()-3,))</f>
        <v>서울도시가스㈜</v>
      </c>
      <c r="I32" s="147" t="str">
        <f>IF($E32="","",VLOOKUP($E32,$E$3:$L31,COLUMN()-3,))</f>
        <v>031-967-3322</v>
      </c>
      <c r="J32" s="147" t="str">
        <f>IF($E32="","",VLOOKUP($E32,$E$3:$L31,COLUMN()-3,))</f>
        <v>60057-29175</v>
      </c>
      <c r="K32" s="147" t="str">
        <f>IF($E32="","",VLOOKUP($E32,$E$3:$L31,COLUMN()-3,))</f>
        <v>카드: www.seoulgas.co.kr</v>
      </c>
      <c r="L32" s="147" t="str">
        <f>VLOOKUP($E32,$E$3:$L31,COLUMN()-4,)</f>
        <v>카드: www.seoulgas.co.kr</v>
      </c>
    </row>
    <row r="33" spans="1:13" ht="18" customHeight="1">
      <c r="A33" s="145">
        <f t="shared" si="1"/>
        <v>31</v>
      </c>
      <c r="B33" s="146">
        <v>43780</v>
      </c>
      <c r="C33" s="225" t="str">
        <f t="shared" si="0"/>
        <v>2019-11</v>
      </c>
      <c r="D33" s="146">
        <v>43778</v>
      </c>
      <c r="E33" s="147" t="s">
        <v>268</v>
      </c>
      <c r="F33" s="147">
        <v>4750</v>
      </c>
      <c r="G33" s="147" t="str">
        <f>IF($E33="","",VLOOKUP($E33,$E$3:$L32,COLUMN()-3,))</f>
        <v>59504952-497211</v>
      </c>
      <c r="H33" s="147" t="str">
        <f>IF($E33="","",VLOOKUP($E33,$E$3:$L32,COLUMN()-3,))</f>
        <v>서울도시가스㈜</v>
      </c>
      <c r="I33" s="147" t="str">
        <f>IF($E33="","",VLOOKUP($E33,$E$3:$L32,COLUMN()-3,))</f>
        <v>031-967-3322</v>
      </c>
      <c r="J33" s="147" t="str">
        <f>IF($E33="","",VLOOKUP($E33,$E$3:$L32,COLUMN()-3,))</f>
        <v>60057-29175</v>
      </c>
      <c r="K33" s="147" t="str">
        <f>IF($E33="","",VLOOKUP($E33,$E$3:$L32,COLUMN()-3,))</f>
        <v>카드: www.seoulgas.co.kr</v>
      </c>
      <c r="L33" s="147" t="str">
        <f>VLOOKUP($E33,$E$3:$L32,COLUMN()-4,)</f>
        <v>카드: www.seoulgas.co.kr</v>
      </c>
    </row>
    <row r="34" spans="1:13" ht="18" customHeight="1">
      <c r="A34" s="145">
        <f t="shared" si="1"/>
        <v>32</v>
      </c>
      <c r="B34" s="146">
        <v>43753</v>
      </c>
      <c r="C34" s="225" t="str">
        <f t="shared" si="0"/>
        <v>2019-10</v>
      </c>
      <c r="D34" s="146">
        <v>43778</v>
      </c>
      <c r="E34" s="147" t="s">
        <v>269</v>
      </c>
      <c r="F34" s="147">
        <v>19760</v>
      </c>
      <c r="G34" s="147" t="str">
        <f>IF($E34="","",VLOOKUP($E34,$E$3:$L33,COLUMN()-3,))</f>
        <v>594-064307-97-574</v>
      </c>
      <c r="H34" s="147" t="str">
        <f>IF($E34="","",VLOOKUP($E34,$E$3:$L33,COLUMN()-3,))</f>
        <v>한국전력공사</v>
      </c>
      <c r="I34" s="147">
        <f>IF($E34="","",VLOOKUP($E34,$E$3:$L33,COLUMN()-3,))</f>
        <v>123</v>
      </c>
      <c r="J34" s="147" t="str">
        <f>IF($E34="","",VLOOKUP($E34,$E$3:$L33,COLUMN()-3,))</f>
        <v>10-1349-8109</v>
      </c>
      <c r="K34" s="147" t="str">
        <f>IF($E34="","",VLOOKUP($E34,$E$3:$L33,COLUMN()-3,))</f>
        <v>cyber.kepco.co.kr</v>
      </c>
      <c r="L34" s="147" t="str">
        <f>VLOOKUP($E34,$E$3:$L33,COLUMN()-4,)</f>
        <v>cyber.kepco.co.kr</v>
      </c>
    </row>
    <row r="35" spans="1:13" ht="18" customHeight="1">
      <c r="A35" s="145">
        <f t="shared" si="1"/>
        <v>33</v>
      </c>
      <c r="B35" s="146">
        <v>43784</v>
      </c>
      <c r="C35" s="225" t="str">
        <f t="shared" si="0"/>
        <v>2019-11</v>
      </c>
      <c r="D35" s="146">
        <v>43778</v>
      </c>
      <c r="E35" s="147" t="s">
        <v>269</v>
      </c>
      <c r="F35" s="147">
        <v>15680</v>
      </c>
      <c r="G35" s="147" t="str">
        <f>IF($E35="","",VLOOKUP($E35,$E$3:$L34,COLUMN()-3,))</f>
        <v>594-064307-97-574</v>
      </c>
      <c r="H35" s="147" t="str">
        <f>IF($E35="","",VLOOKUP($E35,$E$3:$L34,COLUMN()-3,))</f>
        <v>한국전력공사</v>
      </c>
      <c r="I35" s="147">
        <f>IF($E35="","",VLOOKUP($E35,$E$3:$L34,COLUMN()-3,))</f>
        <v>123</v>
      </c>
      <c r="J35" s="147" t="str">
        <f>IF($E35="","",VLOOKUP($E35,$E$3:$L34,COLUMN()-3,))</f>
        <v>10-1349-8109</v>
      </c>
      <c r="K35" s="147" t="str">
        <f>IF($E35="","",VLOOKUP($E35,$E$3:$L34,COLUMN()-3,))</f>
        <v>cyber.kepco.co.kr</v>
      </c>
      <c r="L35" s="147" t="str">
        <f>VLOOKUP($E35,$E$3:$L34,COLUMN()-4,)</f>
        <v>cyber.kepco.co.kr</v>
      </c>
    </row>
    <row r="36" spans="1:13" ht="18" customHeight="1">
      <c r="A36" s="145">
        <f t="shared" si="1"/>
        <v>34</v>
      </c>
      <c r="B36" s="146">
        <v>43799</v>
      </c>
      <c r="C36" s="225" t="str">
        <f t="shared" si="0"/>
        <v>2019-11</v>
      </c>
      <c r="D36" s="146">
        <v>43799</v>
      </c>
      <c r="E36" s="147" t="s">
        <v>270</v>
      </c>
      <c r="F36" s="147">
        <v>19300</v>
      </c>
      <c r="G36" s="147" t="str">
        <f>IF($E36="","",VLOOKUP($E36,$E$3:$L35,COLUMN()-3,))</f>
        <v>217038-52-018959</v>
      </c>
      <c r="H36" s="147" t="str">
        <f>IF($E36="","",VLOOKUP($E36,$E$3:$L35,COLUMN()-3,))</f>
        <v>김미정</v>
      </c>
      <c r="I36" s="147" t="str">
        <f>IF($E36="","",VLOOKUP($E36,$E$3:$L35,COLUMN()-3,))</f>
        <v>010-7758-8204</v>
      </c>
      <c r="J36" s="147">
        <f>IF($E36="","",VLOOKUP($E36,$E$3:$L35,COLUMN()-3,))</f>
        <v>0</v>
      </c>
      <c r="K36" s="147" t="str">
        <f>IF($E36="","",VLOOKUP($E36,$E$3:$L35,COLUMN()-3,))</f>
        <v>푸른주택관리</v>
      </c>
      <c r="L36" s="147" t="str">
        <f>VLOOKUP($E36,$E$3:$L35,COLUMN()-4,)</f>
        <v>푸른주택관리</v>
      </c>
    </row>
    <row r="37" spans="1:13" ht="18" customHeight="1">
      <c r="A37" s="145">
        <f t="shared" si="1"/>
        <v>35</v>
      </c>
      <c r="B37" s="146">
        <v>43815</v>
      </c>
      <c r="C37" s="225" t="str">
        <f t="shared" si="0"/>
        <v>2019-12</v>
      </c>
      <c r="D37" s="146">
        <v>43810</v>
      </c>
      <c r="E37" s="147" t="s">
        <v>258</v>
      </c>
      <c r="F37" s="147">
        <v>32000</v>
      </c>
      <c r="G37" s="147" t="s">
        <v>164</v>
      </c>
      <c r="H37" s="147" t="s">
        <v>262</v>
      </c>
      <c r="I37" s="147" t="s">
        <v>263</v>
      </c>
      <c r="J37" s="147" t="s">
        <v>264</v>
      </c>
      <c r="K37" s="147" t="s">
        <v>279</v>
      </c>
      <c r="L37" s="147" t="s">
        <v>280</v>
      </c>
    </row>
    <row r="38" spans="1:13" ht="18" customHeight="1">
      <c r="A38" s="145">
        <f t="shared" si="1"/>
        <v>36</v>
      </c>
      <c r="B38" s="146">
        <v>43809</v>
      </c>
      <c r="C38" s="225" t="str">
        <f t="shared" si="0"/>
        <v>2019-12</v>
      </c>
      <c r="D38" s="146">
        <v>43810</v>
      </c>
      <c r="E38" s="147" t="s">
        <v>281</v>
      </c>
      <c r="F38" s="147">
        <v>36870</v>
      </c>
      <c r="G38" s="147" t="str">
        <f>IF($E38="","",VLOOKUP($E38,$E$3:$L37,COLUMN()-3,))</f>
        <v>59504952-497211</v>
      </c>
      <c r="H38" s="147" t="str">
        <f>IF($E38="","",VLOOKUP($E38,$E$3:$L37,COLUMN()-3,))</f>
        <v>서울도시가스㈜</v>
      </c>
      <c r="I38" s="147" t="str">
        <f>IF($E38="","",VLOOKUP($E38,$E$3:$L37,COLUMN()-3,))</f>
        <v>031-967-3322</v>
      </c>
      <c r="J38" s="147" t="str">
        <f>IF($E38="","",VLOOKUP($E38,$E$3:$L37,COLUMN()-3,))</f>
        <v>60057-29175</v>
      </c>
      <c r="K38" s="147" t="str">
        <f>IF($E38="","",VLOOKUP($E38,$E$3:$L37,COLUMN()-3,))</f>
        <v>카드: www.seoulgas.co.kr</v>
      </c>
      <c r="L38" s="147" t="s">
        <v>282</v>
      </c>
    </row>
    <row r="39" spans="1:13" ht="18" customHeight="1">
      <c r="A39" s="145">
        <f t="shared" si="1"/>
        <v>37</v>
      </c>
      <c r="B39" s="146">
        <v>43814</v>
      </c>
      <c r="C39" s="225" t="str">
        <f t="shared" si="0"/>
        <v>2019-12</v>
      </c>
      <c r="D39" s="146">
        <v>43810</v>
      </c>
      <c r="E39" s="147" t="s">
        <v>283</v>
      </c>
      <c r="F39" s="147">
        <v>12410</v>
      </c>
      <c r="G39" s="147" t="str">
        <f>IF($E39="","",VLOOKUP($E39,$E$3:$L38,COLUMN()-3,))</f>
        <v>594-064307-97-574</v>
      </c>
      <c r="H39" s="147" t="str">
        <f>IF($E39="","",VLOOKUP($E39,$E$3:$L38,COLUMN()-3,))</f>
        <v>한국전력공사</v>
      </c>
      <c r="I39" s="147">
        <f>IF($E39="","",VLOOKUP($E39,$E$3:$L38,COLUMN()-3,))</f>
        <v>123</v>
      </c>
      <c r="J39" s="147" t="str">
        <f>IF($E39="","",VLOOKUP($E39,$E$3:$L38,COLUMN()-3,))</f>
        <v>10-1349-8109</v>
      </c>
      <c r="K39" s="147" t="str">
        <f>IF($E39="","",VLOOKUP($E39,$E$3:$L38,COLUMN()-3,))</f>
        <v>cyber.kepco.co.kr</v>
      </c>
      <c r="L39" s="147" t="str">
        <f>VLOOKUP($E39,$E$3:$L38,COLUMN()-4,)</f>
        <v>cyber.kepco.co.kr</v>
      </c>
    </row>
    <row r="40" spans="1:13" ht="18" customHeight="1">
      <c r="A40" s="145">
        <f t="shared" si="1"/>
        <v>38</v>
      </c>
      <c r="B40" s="146">
        <v>43829</v>
      </c>
      <c r="C40" s="225" t="str">
        <f t="shared" si="0"/>
        <v>2019-12</v>
      </c>
      <c r="D40" s="146">
        <v>43827</v>
      </c>
      <c r="E40" s="147" t="s">
        <v>285</v>
      </c>
      <c r="F40" s="147">
        <v>22100</v>
      </c>
      <c r="G40" s="147" t="s">
        <v>286</v>
      </c>
      <c r="H40" s="147" t="s">
        <v>287</v>
      </c>
      <c r="I40" s="147" t="s">
        <v>288</v>
      </c>
      <c r="J40" s="147" t="s">
        <v>289</v>
      </c>
      <c r="K40" s="147" t="s">
        <v>290</v>
      </c>
      <c r="L40" s="147" t="s">
        <v>291</v>
      </c>
    </row>
    <row r="41" spans="1:13" ht="18" customHeight="1">
      <c r="A41" s="145">
        <f t="shared" si="1"/>
        <v>39</v>
      </c>
      <c r="B41" s="146">
        <v>43830</v>
      </c>
      <c r="C41" s="225" t="str">
        <f t="shared" si="0"/>
        <v>2019-12</v>
      </c>
      <c r="D41" s="146">
        <v>43827</v>
      </c>
      <c r="E41" s="147" t="s">
        <v>292</v>
      </c>
      <c r="F41" s="147">
        <v>171520</v>
      </c>
      <c r="G41" s="147" t="s">
        <v>293</v>
      </c>
      <c r="H41" s="147" t="s">
        <v>294</v>
      </c>
      <c r="I41" s="147" t="s">
        <v>295</v>
      </c>
      <c r="J41" s="147"/>
      <c r="K41" s="147"/>
      <c r="L41" s="147" t="s">
        <v>296</v>
      </c>
    </row>
    <row r="42" spans="1:13" ht="18" customHeight="1">
      <c r="A42" s="145">
        <f t="shared" si="1"/>
        <v>40</v>
      </c>
      <c r="B42" s="146">
        <v>43830</v>
      </c>
      <c r="C42" s="225" t="str">
        <f t="shared" si="0"/>
        <v>2019-12</v>
      </c>
      <c r="D42" s="146">
        <v>43827</v>
      </c>
      <c r="E42" s="147" t="s">
        <v>297</v>
      </c>
      <c r="F42" s="147">
        <v>19300</v>
      </c>
      <c r="G42" s="147" t="str">
        <f>IF($E42="","",VLOOKUP($E42,$E$3:$L41,COLUMN()-3,))</f>
        <v>217038-52-018959</v>
      </c>
      <c r="H42" s="147" t="str">
        <f>IF($E42="","",VLOOKUP($E42,$E$3:$L41,COLUMN()-3,))</f>
        <v>김미정</v>
      </c>
      <c r="I42" s="147" t="str">
        <f>IF($E42="","",VLOOKUP($E42,$E$3:$L41,COLUMN()-3,))</f>
        <v>010-7758-8204</v>
      </c>
      <c r="J42" s="147">
        <f>IF($E42="","",VLOOKUP($E42,$E$3:$L41,COLUMN()-3,))</f>
        <v>0</v>
      </c>
      <c r="K42" s="147" t="str">
        <f>IF($E42="","",VLOOKUP($E42,$E$3:$L41,COLUMN()-3,))</f>
        <v>푸른주택관리</v>
      </c>
      <c r="L42" s="147" t="str">
        <f>VLOOKUP($E42,$E$3:$L41,COLUMN()-4,)</f>
        <v>푸른주택관리</v>
      </c>
    </row>
    <row r="43" spans="1:13" ht="18" customHeight="1">
      <c r="A43" s="145">
        <f t="shared" si="1"/>
        <v>41</v>
      </c>
      <c r="B43" s="146">
        <v>43845</v>
      </c>
      <c r="C43" s="225" t="str">
        <f t="shared" si="0"/>
        <v>2020-01</v>
      </c>
      <c r="D43" s="146">
        <v>43842</v>
      </c>
      <c r="E43" s="147" t="s">
        <v>315</v>
      </c>
      <c r="F43" s="147">
        <v>13460</v>
      </c>
      <c r="G43" s="147" t="str">
        <f>IF($E43="","",VLOOKUP($E43,$E$3:$L42,COLUMN()-3,))</f>
        <v>594-064307-97-574</v>
      </c>
      <c r="H43" s="147" t="str">
        <f>IF($E43="","",VLOOKUP($E43,$E$3:$L42,COLUMN()-3,))</f>
        <v>한국전력공사</v>
      </c>
      <c r="I43" s="147">
        <f>IF($E43="","",VLOOKUP($E43,$E$3:$L42,COLUMN()-3,))</f>
        <v>123</v>
      </c>
      <c r="J43" s="147" t="str">
        <f>IF($E43="","",VLOOKUP($E43,$E$3:$L42,COLUMN()-3,))</f>
        <v>10-1349-8109</v>
      </c>
      <c r="K43" s="147" t="str">
        <f>IF($E43="","",VLOOKUP($E43,$E$3:$L42,COLUMN()-3,))</f>
        <v>cyber.kepco.co.kr</v>
      </c>
      <c r="L43" s="147" t="str">
        <f>VLOOKUP($E43,$E$3:$L42,COLUMN()-4,)</f>
        <v>cyber.kepco.co.kr</v>
      </c>
    </row>
    <row r="44" spans="1:13" ht="18" customHeight="1">
      <c r="A44" s="145">
        <f t="shared" si="1"/>
        <v>42</v>
      </c>
      <c r="B44" s="146">
        <v>43864</v>
      </c>
      <c r="C44" s="225" t="str">
        <f t="shared" si="0"/>
        <v>2020-02</v>
      </c>
      <c r="D44" s="146">
        <v>43861</v>
      </c>
      <c r="E44" s="147" t="s">
        <v>316</v>
      </c>
      <c r="F44" s="147"/>
      <c r="G44" s="147" t="str">
        <f>IF($E44="","",VLOOKUP($E44,$E$3:$L43,COLUMN()-3,))</f>
        <v>217038-52-018959</v>
      </c>
      <c r="H44" s="147" t="str">
        <f>IF($E44="","",VLOOKUP($E44,$E$3:$L43,COLUMN()-3,))</f>
        <v>김미정</v>
      </c>
      <c r="I44" s="147" t="str">
        <f>IF($E44="","",VLOOKUP($E44,$E$3:$L43,COLUMN()-3,))</f>
        <v>010-7758-8204</v>
      </c>
      <c r="J44" s="147">
        <f>IF($E44="","",VLOOKUP($E44,$E$3:$L43,COLUMN()-3,))</f>
        <v>0</v>
      </c>
      <c r="K44" s="147" t="str">
        <f>IF($E44="","",VLOOKUP($E44,$E$3:$L43,COLUMN()-3,))</f>
        <v>푸른주택관리</v>
      </c>
      <c r="L44" s="147" t="str">
        <f>VLOOKUP($E44,$E$3:$L43,COLUMN()-4,)</f>
        <v>푸른주택관리</v>
      </c>
    </row>
    <row r="45" spans="1:13" ht="18" customHeight="1">
      <c r="A45" s="145">
        <f>A44+1</f>
        <v>43</v>
      </c>
      <c r="B45" s="146">
        <v>43840</v>
      </c>
      <c r="C45" s="225" t="str">
        <f t="shared" si="0"/>
        <v>2020-01</v>
      </c>
      <c r="D45" s="146">
        <v>43869</v>
      </c>
      <c r="E45" s="147" t="s">
        <v>317</v>
      </c>
      <c r="F45" s="147">
        <v>64710</v>
      </c>
      <c r="G45" s="147" t="str">
        <f>IF($E45="","",VLOOKUP($E45,$E$3:$L44,COLUMN()-3,))</f>
        <v>59504952-497211</v>
      </c>
      <c r="H45" s="147" t="str">
        <f>IF($E45="","",VLOOKUP($E45,$E$3:$L44,COLUMN()-3,))</f>
        <v>서울도시가스㈜</v>
      </c>
      <c r="I45" s="147" t="str">
        <f>IF($E45="","",VLOOKUP($E45,$E$3:$L44,COLUMN()-3,))</f>
        <v>031-967-3322</v>
      </c>
      <c r="J45" s="147" t="str">
        <f>IF($E45="","",VLOOKUP($E45,$E$3:$L44,COLUMN()-3,))</f>
        <v>60057-29175</v>
      </c>
      <c r="K45" s="147" t="str">
        <f>IF($E45="","",VLOOKUP($E45,$E$3:$L44,COLUMN()-3,))</f>
        <v>카드: www.seoulgas.co.kr</v>
      </c>
      <c r="L45" s="147" t="str">
        <f>VLOOKUP($E45,$E$3:$L44,COLUMN()-4,)</f>
        <v>카드: www.seoulgas.co.kr</v>
      </c>
      <c r="M45" s="33" t="s">
        <v>318</v>
      </c>
    </row>
    <row r="46" spans="1:13" ht="18" customHeight="1">
      <c r="A46" s="145">
        <f t="shared" si="1"/>
        <v>44</v>
      </c>
      <c r="B46" s="146">
        <v>43871</v>
      </c>
      <c r="C46" s="225" t="str">
        <f t="shared" si="0"/>
        <v>2020-02</v>
      </c>
      <c r="D46" s="146">
        <v>43869</v>
      </c>
      <c r="E46" s="147" t="s">
        <v>317</v>
      </c>
      <c r="F46" s="147">
        <v>69220</v>
      </c>
      <c r="G46" s="147" t="str">
        <f>IF($E46="","",VLOOKUP($E46,$E$3:$L45,COLUMN()-3,))</f>
        <v>59504952-497211</v>
      </c>
      <c r="H46" s="147" t="str">
        <f>IF($E46="","",VLOOKUP($E46,$E$3:$L45,COLUMN()-3,))</f>
        <v>서울도시가스㈜</v>
      </c>
      <c r="I46" s="147" t="str">
        <f>IF($E46="","",VLOOKUP($E46,$E$3:$L45,COLUMN()-3,))</f>
        <v>031-967-3322</v>
      </c>
      <c r="J46" s="147" t="str">
        <f>IF($E46="","",VLOOKUP($E46,$E$3:$L45,COLUMN()-3,))</f>
        <v>60057-29175</v>
      </c>
      <c r="K46" s="147" t="str">
        <f>IF($E46="","",VLOOKUP($E46,$E$3:$L45,COLUMN()-3,))</f>
        <v>카드: www.seoulgas.co.kr</v>
      </c>
      <c r="L46" s="147" t="str">
        <f>VLOOKUP($E46,$E$3:$L45,COLUMN()-4,)</f>
        <v>카드: www.seoulgas.co.kr</v>
      </c>
      <c r="M46" s="33" t="s">
        <v>318</v>
      </c>
    </row>
    <row r="47" spans="1:13" ht="18" customHeight="1">
      <c r="A47" s="145">
        <f t="shared" si="1"/>
        <v>45</v>
      </c>
      <c r="B47" s="146">
        <v>43878</v>
      </c>
      <c r="C47" s="225" t="str">
        <f t="shared" si="0"/>
        <v>2020-02</v>
      </c>
      <c r="D47" s="146">
        <v>43877</v>
      </c>
      <c r="E47" s="147" t="s">
        <v>319</v>
      </c>
      <c r="F47" s="147">
        <v>24520</v>
      </c>
      <c r="G47" s="147" t="str">
        <f>IF($E47="","",VLOOKUP($E47,$E$3:$L46,COLUMN()-3,))</f>
        <v>594-064307-97-574</v>
      </c>
      <c r="H47" s="147" t="str">
        <f>IF($E47="","",VLOOKUP($E47,$E$3:$L46,COLUMN()-3,))</f>
        <v>한국전력공사</v>
      </c>
      <c r="I47" s="147">
        <f>IF($E47="","",VLOOKUP($E47,$E$3:$L46,COLUMN()-3,))</f>
        <v>123</v>
      </c>
      <c r="J47" s="147" t="str">
        <f>IF($E47="","",VLOOKUP($E47,$E$3:$L46,COLUMN()-3,))</f>
        <v>10-1349-8109</v>
      </c>
      <c r="K47" s="147" t="str">
        <f>IF($E47="","",VLOOKUP($E47,$E$3:$L46,COLUMN()-3,))</f>
        <v>cyber.kepco.co.kr</v>
      </c>
      <c r="L47" s="147" t="s">
        <v>320</v>
      </c>
      <c r="M47" s="33" t="s">
        <v>321</v>
      </c>
    </row>
    <row r="48" spans="1:13" ht="18" customHeight="1">
      <c r="A48" s="145">
        <f t="shared" si="1"/>
        <v>46</v>
      </c>
      <c r="B48" s="146">
        <v>43890</v>
      </c>
      <c r="C48" s="225" t="str">
        <f t="shared" si="0"/>
        <v>2020-02</v>
      </c>
      <c r="D48" s="146">
        <v>43890</v>
      </c>
      <c r="E48" s="147" t="s">
        <v>323</v>
      </c>
      <c r="F48" s="147">
        <v>19700</v>
      </c>
      <c r="G48" s="147" t="str">
        <f>IF($E48="","",VLOOKUP($E48,$E$3:$L47,COLUMN()-3,))</f>
        <v>217038-52-018959</v>
      </c>
      <c r="H48" s="147" t="str">
        <f>IF($E48="","",VLOOKUP($E48,$E$3:$L47,COLUMN()-3,))</f>
        <v>김미정</v>
      </c>
      <c r="I48" s="147" t="str">
        <f>IF($E48="","",VLOOKUP($E48,$E$3:$L47,COLUMN()-3,))</f>
        <v>010-7758-8204</v>
      </c>
      <c r="J48" s="147">
        <f>IF($E48="","",VLOOKUP($E48,$E$3:$L47,COLUMN()-3,))</f>
        <v>0</v>
      </c>
      <c r="K48" s="147" t="str">
        <f>IF($E48="","",VLOOKUP($E48,$E$3:$L47,COLUMN()-3,))</f>
        <v>푸른주택관리</v>
      </c>
      <c r="L48" s="147" t="str">
        <f>VLOOKUP($E48,$E$3:$L47,COLUMN()-4,)</f>
        <v>푸른주택관리</v>
      </c>
    </row>
    <row r="49" spans="1:13" ht="18" customHeight="1">
      <c r="A49" s="145">
        <f t="shared" si="1"/>
        <v>47</v>
      </c>
      <c r="B49" s="146">
        <v>43864</v>
      </c>
      <c r="C49" s="225" t="str">
        <f t="shared" si="0"/>
        <v>2020-02</v>
      </c>
      <c r="D49" s="146">
        <v>43890</v>
      </c>
      <c r="E49" s="147" t="s">
        <v>323</v>
      </c>
      <c r="F49" s="147">
        <v>18300</v>
      </c>
      <c r="G49" s="147" t="str">
        <f>IF($E49="","",VLOOKUP($E49,$E$3:$L48,COLUMN()-3,))</f>
        <v>217038-52-018959</v>
      </c>
      <c r="H49" s="147" t="str">
        <f>IF($E49="","",VLOOKUP($E49,$E$3:$L48,COLUMN()-3,))</f>
        <v>김미정</v>
      </c>
      <c r="I49" s="147" t="str">
        <f>IF($E49="","",VLOOKUP($E49,$E$3:$L48,COLUMN()-3,))</f>
        <v>010-7758-8204</v>
      </c>
      <c r="J49" s="147">
        <f>IF($E49="","",VLOOKUP($E49,$E$3:$L48,COLUMN()-3,))</f>
        <v>0</v>
      </c>
      <c r="K49" s="147" t="str">
        <f>IF($E49="","",VLOOKUP($E49,$E$3:$L48,COLUMN()-3,))</f>
        <v>푸른주택관리</v>
      </c>
      <c r="L49" s="147" t="str">
        <f>VLOOKUP($E49,$E$3:$L48,COLUMN()-4,)</f>
        <v>푸른주택관리</v>
      </c>
    </row>
    <row r="50" spans="1:13" ht="18" customHeight="1">
      <c r="A50" s="145">
        <f t="shared" si="1"/>
        <v>48</v>
      </c>
      <c r="B50" s="146">
        <v>43905</v>
      </c>
      <c r="C50" s="225" t="str">
        <f t="shared" si="0"/>
        <v>2020-03</v>
      </c>
      <c r="D50" s="146">
        <v>43905</v>
      </c>
      <c r="E50" s="147" t="s">
        <v>324</v>
      </c>
      <c r="F50" s="147">
        <v>63140</v>
      </c>
      <c r="G50" s="147" t="str">
        <f>IF($E50="","",VLOOKUP($E50,$E$3:$L49,COLUMN()-3,))</f>
        <v>59504952-497211</v>
      </c>
      <c r="H50" s="147" t="str">
        <f>IF($E50="","",VLOOKUP($E50,$E$3:$L49,COLUMN()-3,))</f>
        <v>서울도시가스㈜</v>
      </c>
      <c r="I50" s="147" t="str">
        <f>IF($E50="","",VLOOKUP($E50,$E$3:$L49,COLUMN()-3,))</f>
        <v>031-967-3322</v>
      </c>
      <c r="J50" s="147" t="str">
        <f>IF($E50="","",VLOOKUP($E50,$E$3:$L49,COLUMN()-3,))</f>
        <v>60057-29175</v>
      </c>
      <c r="K50" s="147" t="str">
        <f>IF($E50="","",VLOOKUP($E50,$E$3:$L49,COLUMN()-3,))</f>
        <v>카드: www.seoulgas.co.kr</v>
      </c>
      <c r="L50" s="147" t="str">
        <f>VLOOKUP($E50,$E$3:$L49,COLUMN()-4,)</f>
        <v>카드: www.seoulgas.co.kr</v>
      </c>
    </row>
    <row r="51" spans="1:13" ht="18" customHeight="1">
      <c r="A51" s="145">
        <f t="shared" si="1"/>
        <v>49</v>
      </c>
      <c r="B51" s="146">
        <v>43906</v>
      </c>
      <c r="C51" s="225" t="str">
        <f t="shared" si="0"/>
        <v>2020-03</v>
      </c>
      <c r="D51" s="146">
        <v>43905</v>
      </c>
      <c r="E51" s="147" t="s">
        <v>325</v>
      </c>
      <c r="F51" s="147">
        <v>12650</v>
      </c>
      <c r="G51" s="147" t="str">
        <f>IF($E51="","",VLOOKUP($E51,$E$3:$L50,COLUMN()-3,))</f>
        <v>594-064307-97-574</v>
      </c>
      <c r="H51" s="147" t="str">
        <f>IF($E51="","",VLOOKUP($E51,$E$3:$L50,COLUMN()-3,))</f>
        <v>한국전력공사</v>
      </c>
      <c r="I51" s="147">
        <f>IF($E51="","",VLOOKUP($E51,$E$3:$L50,COLUMN()-3,))</f>
        <v>123</v>
      </c>
      <c r="J51" s="147" t="str">
        <f>IF($E51="","",VLOOKUP($E51,$E$3:$L50,COLUMN()-3,))</f>
        <v>10-1349-8109</v>
      </c>
      <c r="K51" s="147" t="str">
        <f>IF($E51="","",VLOOKUP($E51,$E$3:$L50,COLUMN()-3,))</f>
        <v>cyber.kepco.co.kr</v>
      </c>
      <c r="L51" s="147" t="str">
        <f>VLOOKUP($E51,$E$3:$L50,COLUMN()-4,)</f>
        <v>cyber.kepco.co.kr</v>
      </c>
      <c r="M51" s="33" t="s">
        <v>326</v>
      </c>
    </row>
    <row r="52" spans="1:13" ht="18" customHeight="1">
      <c r="A52" s="145">
        <f t="shared" si="1"/>
        <v>50</v>
      </c>
      <c r="B52" s="146">
        <v>43921</v>
      </c>
      <c r="C52" s="225" t="str">
        <f t="shared" si="0"/>
        <v>2020-03</v>
      </c>
      <c r="D52" s="146">
        <v>43921</v>
      </c>
      <c r="E52" s="147" t="s">
        <v>336</v>
      </c>
      <c r="F52" s="147">
        <v>18400</v>
      </c>
      <c r="G52" s="147" t="str">
        <f>IF($E52="","",VLOOKUP($E52,$E$3:$L51,COLUMN()-3,))</f>
        <v>217038-52-018959</v>
      </c>
      <c r="H52" s="147" t="str">
        <f>IF($E52="","",VLOOKUP($E52,$E$3:$L51,COLUMN()-3,))</f>
        <v>김미정</v>
      </c>
      <c r="I52" s="147" t="str">
        <f>IF($E52="","",VLOOKUP($E52,$E$3:$L51,COLUMN()-3,))</f>
        <v>010-7758-8204</v>
      </c>
      <c r="J52" s="147">
        <f>IF($E52="","",VLOOKUP($E52,$E$3:$L51,COLUMN()-3,))</f>
        <v>0</v>
      </c>
      <c r="K52" s="147" t="str">
        <f>IF($E52="","",VLOOKUP($E52,$E$3:$L51,COLUMN()-3,))</f>
        <v>푸른주택관리</v>
      </c>
      <c r="L52" s="147" t="str">
        <f>VLOOKUP($E52,$E$3:$L51,COLUMN()-4,)</f>
        <v>푸른주택관리</v>
      </c>
    </row>
    <row r="53" spans="1:13" ht="18" customHeight="1">
      <c r="A53" s="145">
        <f t="shared" si="1"/>
        <v>51</v>
      </c>
      <c r="B53" s="146">
        <v>43936</v>
      </c>
      <c r="C53" s="225" t="str">
        <f t="shared" si="0"/>
        <v>2020-04</v>
      </c>
      <c r="D53" s="146">
        <v>43935</v>
      </c>
      <c r="E53" s="147" t="s">
        <v>337</v>
      </c>
      <c r="F53" s="147">
        <v>46680</v>
      </c>
      <c r="G53" s="147" t="str">
        <f>IF($E53="","",VLOOKUP($E53,$E$3:$L52,COLUMN()-3,))</f>
        <v>59504952-497211</v>
      </c>
      <c r="H53" s="147" t="str">
        <f>IF($E53="","",VLOOKUP($E53,$E$3:$L52,COLUMN()-3,))</f>
        <v>서울도시가스㈜</v>
      </c>
      <c r="I53" s="147" t="str">
        <f>IF($E53="","",VLOOKUP($E53,$E$3:$L52,COLUMN()-3,))</f>
        <v>031-967-3322</v>
      </c>
      <c r="J53" s="147" t="str">
        <f>IF($E53="","",VLOOKUP($E53,$E$3:$L52,COLUMN()-3,))</f>
        <v>60057-29175</v>
      </c>
      <c r="K53" s="147" t="str">
        <f>IF($E53="","",VLOOKUP($E53,$E$3:$L52,COLUMN()-3,))</f>
        <v>카드: www.seoulgas.co.kr</v>
      </c>
      <c r="L53" s="147" t="str">
        <f>VLOOKUP($E53,$E$3:$L52,COLUMN()-4,)</f>
        <v>카드: www.seoulgas.co.kr</v>
      </c>
      <c r="M53" s="33" t="s">
        <v>339</v>
      </c>
    </row>
    <row r="54" spans="1:13" ht="18" customHeight="1">
      <c r="A54" s="145">
        <f t="shared" si="1"/>
        <v>52</v>
      </c>
      <c r="B54" s="146">
        <v>43936</v>
      </c>
      <c r="C54" s="225" t="str">
        <f t="shared" si="0"/>
        <v>2020-04</v>
      </c>
      <c r="D54" s="146">
        <v>43935</v>
      </c>
      <c r="E54" s="147" t="s">
        <v>338</v>
      </c>
      <c r="F54" s="147">
        <v>11370</v>
      </c>
      <c r="G54" s="147" t="str">
        <f>IF($E54="","",VLOOKUP($E54,$E$3:$L53,COLUMN()-3,))</f>
        <v>594-064307-97-574</v>
      </c>
      <c r="H54" s="147" t="str">
        <f>IF($E54="","",VLOOKUP($E54,$E$3:$L53,COLUMN()-3,))</f>
        <v>한국전력공사</v>
      </c>
      <c r="I54" s="147">
        <f>IF($E54="","",VLOOKUP($E54,$E$3:$L53,COLUMN()-3,))</f>
        <v>123</v>
      </c>
      <c r="J54" s="147" t="str">
        <f>IF($E54="","",VLOOKUP($E54,$E$3:$L53,COLUMN()-3,))</f>
        <v>10-1349-8109</v>
      </c>
      <c r="K54" s="147" t="str">
        <f>IF($E54="","",VLOOKUP($E54,$E$3:$L53,COLUMN()-3,))</f>
        <v>cyber.kepco.co.kr</v>
      </c>
      <c r="L54" s="147" t="str">
        <f>VLOOKUP($E54,$E$3:$L53,COLUMN()-4,)</f>
        <v>cyber.kepco.co.kr</v>
      </c>
      <c r="M54" s="33" t="s">
        <v>339</v>
      </c>
    </row>
    <row r="55" spans="1:13" ht="18" customHeight="1">
      <c r="A55" s="145">
        <f t="shared" si="1"/>
        <v>53</v>
      </c>
      <c r="B55" s="146">
        <v>43951</v>
      </c>
      <c r="C55" s="225" t="str">
        <f t="shared" si="0"/>
        <v>2020-04</v>
      </c>
      <c r="D55" s="146">
        <v>43951</v>
      </c>
      <c r="E55" s="147" t="s">
        <v>340</v>
      </c>
      <c r="F55" s="147">
        <v>18100</v>
      </c>
      <c r="G55" s="147" t="str">
        <f>IF($E55="","",VLOOKUP($E55,$E$3:$L54,COLUMN()-3,))</f>
        <v>217038-52-018959</v>
      </c>
      <c r="H55" s="147" t="str">
        <f>IF($E55="","",VLOOKUP($E55,$E$3:$L54,COLUMN()-3,))</f>
        <v>김미정</v>
      </c>
      <c r="I55" s="147" t="str">
        <f>IF($E55="","",VLOOKUP($E55,$E$3:$L54,COLUMN()-3,))</f>
        <v>010-7758-8204</v>
      </c>
      <c r="J55" s="147">
        <f>IF($E55="","",VLOOKUP($E55,$E$3:$L54,COLUMN()-3,))</f>
        <v>0</v>
      </c>
      <c r="K55" s="147" t="str">
        <f>IF($E55="","",VLOOKUP($E55,$E$3:$L54,COLUMN()-3,))</f>
        <v>푸른주택관리</v>
      </c>
      <c r="L55" s="147" t="str">
        <f>VLOOKUP($E55,$E$3:$L54,COLUMN()-4,)</f>
        <v>푸른주택관리</v>
      </c>
    </row>
    <row r="56" spans="1:13" ht="18" customHeight="1">
      <c r="A56" s="145">
        <f t="shared" si="1"/>
        <v>54</v>
      </c>
      <c r="B56" s="146">
        <v>43966</v>
      </c>
      <c r="C56" s="225" t="str">
        <f t="shared" si="0"/>
        <v>2020-05</v>
      </c>
      <c r="D56" s="146">
        <v>43961</v>
      </c>
      <c r="E56" s="147" t="s">
        <v>341</v>
      </c>
      <c r="F56" s="147">
        <v>30660</v>
      </c>
      <c r="G56" s="147" t="str">
        <f>IF($E56="","",VLOOKUP($E56,$E$3:$L55,COLUMN()-3,))</f>
        <v>59504952-497211</v>
      </c>
      <c r="H56" s="147" t="str">
        <f>IF($E56="","",VLOOKUP($E56,$E$3:$L55,COLUMN()-3,))</f>
        <v>서울도시가스㈜</v>
      </c>
      <c r="I56" s="147" t="str">
        <f>IF($E56="","",VLOOKUP($E56,$E$3:$L55,COLUMN()-3,))</f>
        <v>031-967-3322</v>
      </c>
      <c r="J56" s="147" t="str">
        <f>IF($E56="","",VLOOKUP($E56,$E$3:$L55,COLUMN()-3,))</f>
        <v>60057-29175</v>
      </c>
      <c r="K56" s="147" t="str">
        <f>IF($E56="","",VLOOKUP($E56,$E$3:$L55,COLUMN()-3,))</f>
        <v>카드: www.seoulgas.co.kr</v>
      </c>
      <c r="L56" s="147" t="str">
        <f>VLOOKUP($E56,$E$3:$L55,COLUMN()-4,)</f>
        <v>카드: www.seoulgas.co.kr</v>
      </c>
    </row>
    <row r="57" spans="1:13" ht="18" customHeight="1">
      <c r="A57" s="145">
        <f t="shared" si="1"/>
        <v>55</v>
      </c>
      <c r="B57" s="146">
        <v>43966</v>
      </c>
      <c r="C57" s="225" t="str">
        <f t="shared" si="0"/>
        <v>2020-05</v>
      </c>
      <c r="D57" s="146">
        <v>43961</v>
      </c>
      <c r="E57" s="147" t="s">
        <v>342</v>
      </c>
      <c r="F57" s="147">
        <v>11050</v>
      </c>
      <c r="G57" s="147" t="str">
        <f>IF($E57="","",VLOOKUP($E57,$E$3:$L56,COLUMN()-3,))</f>
        <v>594-064307-97-574</v>
      </c>
      <c r="H57" s="147" t="str">
        <f>IF($E57="","",VLOOKUP($E57,$E$3:$L56,COLUMN()-3,))</f>
        <v>한국전력공사</v>
      </c>
      <c r="I57" s="147">
        <f>IF($E57="","",VLOOKUP($E57,$E$3:$L56,COLUMN()-3,))</f>
        <v>123</v>
      </c>
      <c r="J57" s="147" t="str">
        <f>IF($E57="","",VLOOKUP($E57,$E$3:$L56,COLUMN()-3,))</f>
        <v>10-1349-8109</v>
      </c>
      <c r="K57" s="147" t="str">
        <f>IF($E57="","",VLOOKUP($E57,$E$3:$L56,COLUMN()-3,))</f>
        <v>cyber.kepco.co.kr</v>
      </c>
      <c r="L57" s="147" t="str">
        <f>VLOOKUP($E57,$E$3:$L56,COLUMN()-4,)</f>
        <v>cyber.kepco.co.kr</v>
      </c>
    </row>
    <row r="58" spans="1:13" ht="18" customHeight="1">
      <c r="A58" s="145">
        <f t="shared" si="1"/>
        <v>56</v>
      </c>
      <c r="B58" s="146">
        <v>43982</v>
      </c>
      <c r="C58" s="225" t="str">
        <f t="shared" si="0"/>
        <v>2020-05</v>
      </c>
      <c r="D58" s="146">
        <v>43982</v>
      </c>
      <c r="E58" s="147" t="s">
        <v>345</v>
      </c>
      <c r="F58" s="147">
        <v>18100</v>
      </c>
      <c r="G58" s="147" t="str">
        <f>IF($E58="","",VLOOKUP($E58,$E$3:$L57,COLUMN()-3,))</f>
        <v>217038-52-018959</v>
      </c>
      <c r="H58" s="147" t="str">
        <f>IF($E58="","",VLOOKUP($E58,$E$3:$L57,COLUMN()-3,))</f>
        <v>김미정</v>
      </c>
      <c r="I58" s="147" t="str">
        <f>IF($E58="","",VLOOKUP($E58,$E$3:$L57,COLUMN()-3,))</f>
        <v>010-7758-8204</v>
      </c>
      <c r="J58" s="147">
        <f>IF($E58="","",VLOOKUP($E58,$E$3:$L57,COLUMN()-3,))</f>
        <v>0</v>
      </c>
      <c r="K58" s="147" t="str">
        <f>IF($E58="","",VLOOKUP($E58,$E$3:$L57,COLUMN()-3,))</f>
        <v>푸른주택관리</v>
      </c>
      <c r="L58" s="147" t="str">
        <f>VLOOKUP($E58,$E$3:$L57,COLUMN()-4,)</f>
        <v>푸른주택관리</v>
      </c>
    </row>
    <row r="59" spans="1:13" ht="18" customHeight="1">
      <c r="A59" s="145">
        <f t="shared" si="1"/>
        <v>57</v>
      </c>
      <c r="B59" s="146">
        <v>43983</v>
      </c>
      <c r="C59" s="225" t="str">
        <f t="shared" si="0"/>
        <v>2020-06</v>
      </c>
      <c r="D59" s="146">
        <v>43982</v>
      </c>
      <c r="E59" s="147" t="s">
        <v>346</v>
      </c>
      <c r="F59" s="147">
        <v>176650</v>
      </c>
      <c r="G59" s="147" t="str">
        <f>IF($E59="","",VLOOKUP($E59,$E$3:$L58,COLUMN()-3,))</f>
        <v>wetax.go.kr</v>
      </c>
      <c r="H59" s="147" t="str">
        <f>IF($E59="","",VLOOKUP($E59,$E$3:$L58,COLUMN()-3,))</f>
        <v>비씨카드</v>
      </c>
      <c r="I59" s="147">
        <f>IF($E59="","",VLOOKUP($E59,$E$3:$L58,COLUMN()-3,))</f>
        <v>0</v>
      </c>
      <c r="J59" s="147">
        <f>IF($E59="","",VLOOKUP($E59,$E$3:$L58,COLUMN()-3,))</f>
        <v>0</v>
      </c>
      <c r="K59" s="147" t="str">
        <f>IF($E59="","",VLOOKUP($E59,$E$3:$L58,COLUMN()-3,))</f>
        <v>6개월</v>
      </c>
      <c r="L59" s="147" t="str">
        <f>VLOOKUP($E59,$E$3:$L58,COLUMN()-4,)</f>
        <v>6개월</v>
      </c>
    </row>
    <row r="60" spans="1:13" ht="18" customHeight="1">
      <c r="A60" s="145">
        <f t="shared" si="1"/>
        <v>58</v>
      </c>
      <c r="B60" s="146">
        <v>43997</v>
      </c>
      <c r="C60" s="225" t="str">
        <f t="shared" si="0"/>
        <v>2020-06</v>
      </c>
      <c r="D60" s="146">
        <v>43993</v>
      </c>
      <c r="E60" s="147" t="s">
        <v>349</v>
      </c>
      <c r="F60" s="147">
        <v>18380</v>
      </c>
      <c r="G60" s="147" t="str">
        <f>IF($E60="","",VLOOKUP($E60,$E$3:$L59,COLUMN()-3,))</f>
        <v>59504952-497211</v>
      </c>
      <c r="H60" s="147" t="str">
        <f>IF($E60="","",VLOOKUP($E60,$E$3:$L59,COLUMN()-3,))</f>
        <v>서울도시가스㈜</v>
      </c>
      <c r="I60" s="147" t="str">
        <f>IF($E60="","",VLOOKUP($E60,$E$3:$L59,COLUMN()-3,))</f>
        <v>031-967-3322</v>
      </c>
      <c r="J60" s="147" t="str">
        <f>IF($E60="","",VLOOKUP($E60,$E$3:$L59,COLUMN()-3,))</f>
        <v>60057-29175</v>
      </c>
      <c r="K60" s="147" t="str">
        <f>IF($E60="","",VLOOKUP($E60,$E$3:$L59,COLUMN()-3,))</f>
        <v>카드: www.seoulgas.co.kr</v>
      </c>
      <c r="L60" s="147" t="str">
        <f>VLOOKUP($E60,$E$3:$L59,COLUMN()-4,)</f>
        <v>카드: www.seoulgas.co.kr</v>
      </c>
      <c r="M60" t="s">
        <v>350</v>
      </c>
    </row>
    <row r="61" spans="1:13" ht="18" customHeight="1">
      <c r="A61" s="145">
        <f t="shared" si="1"/>
        <v>59</v>
      </c>
      <c r="B61" s="146">
        <v>43997</v>
      </c>
      <c r="C61" s="225" t="str">
        <f t="shared" si="0"/>
        <v>2020-06</v>
      </c>
      <c r="D61" s="146">
        <v>43993</v>
      </c>
      <c r="E61" s="147" t="s">
        <v>351</v>
      </c>
      <c r="F61" s="147">
        <v>11370</v>
      </c>
      <c r="G61" s="147" t="str">
        <f>IF($E61="","",VLOOKUP($E61,$E$3:$L60,COLUMN()-3,))</f>
        <v>594-064307-97-574</v>
      </c>
      <c r="H61" s="147" t="str">
        <f>IF($E61="","",VLOOKUP($E61,$E$3:$L60,COLUMN()-3,))</f>
        <v>한국전력공사</v>
      </c>
      <c r="I61" s="147">
        <f>IF($E61="","",VLOOKUP($E61,$E$3:$L60,COLUMN()-3,))</f>
        <v>123</v>
      </c>
      <c r="J61" s="147" t="str">
        <f>IF($E61="","",VLOOKUP($E61,$E$3:$L60,COLUMN()-3,))</f>
        <v>10-1349-8109</v>
      </c>
      <c r="K61" s="147" t="str">
        <f>IF($E61="","",VLOOKUP($E61,$E$3:$L60,COLUMN()-3,))</f>
        <v>cyber.kepco.co.kr</v>
      </c>
      <c r="L61" s="147" t="str">
        <f>VLOOKUP($E61,$E$3:$L60,COLUMN()-4,)</f>
        <v>cyber.kepco.co.kr</v>
      </c>
      <c r="M61" t="s">
        <v>350</v>
      </c>
    </row>
    <row r="62" spans="1:13" ht="18" customHeight="1">
      <c r="A62" s="145">
        <f t="shared" si="1"/>
        <v>60</v>
      </c>
      <c r="B62" s="146">
        <v>44012</v>
      </c>
      <c r="C62" s="225" t="str">
        <f t="shared" si="0"/>
        <v>2020-06</v>
      </c>
      <c r="D62" s="146">
        <v>44013</v>
      </c>
      <c r="E62" s="147" t="s">
        <v>362</v>
      </c>
      <c r="F62" s="147">
        <v>18800</v>
      </c>
      <c r="G62" s="147" t="str">
        <f>IF($E62="","",VLOOKUP($E62,$E$3:$L61,COLUMN()-3,))</f>
        <v>217038-52-018959</v>
      </c>
      <c r="H62" s="147" t="str">
        <f>IF($E62="","",VLOOKUP($E62,$E$3:$L61,COLUMN()-3,))</f>
        <v>김미정</v>
      </c>
      <c r="I62" s="147" t="str">
        <f>IF($E62="","",VLOOKUP($E62,$E$3:$L61,COLUMN()-3,))</f>
        <v>010-7758-8204</v>
      </c>
      <c r="J62" s="147">
        <f>IF($E62="","",VLOOKUP($E62,$E$3:$L61,COLUMN()-3,))</f>
        <v>0</v>
      </c>
      <c r="K62" s="147" t="str">
        <f>IF($E62="","",VLOOKUP($E62,$E$3:$L61,COLUMN()-3,))</f>
        <v>푸른주택관리</v>
      </c>
      <c r="L62" s="147" t="str">
        <f>VLOOKUP($E62,$E$3:$L61,COLUMN()-4,)</f>
        <v>푸른주택관리</v>
      </c>
    </row>
    <row r="63" spans="1:13" ht="18" customHeight="1">
      <c r="A63" s="145">
        <f t="shared" si="1"/>
        <v>61</v>
      </c>
      <c r="B63" s="146">
        <v>44027</v>
      </c>
      <c r="C63" s="225" t="str">
        <f t="shared" si="0"/>
        <v>2020-07</v>
      </c>
      <c r="D63" s="146">
        <v>44024</v>
      </c>
      <c r="E63" s="147" t="s">
        <v>363</v>
      </c>
      <c r="F63" s="147">
        <v>5300</v>
      </c>
      <c r="G63" s="147" t="str">
        <f>IF($E63="","",VLOOKUP($E63,$E$3:$L62,COLUMN()-3,))</f>
        <v>59504952-497211</v>
      </c>
      <c r="H63" s="147" t="str">
        <f>IF($E63="","",VLOOKUP($E63,$E$3:$L62,COLUMN()-3,))</f>
        <v>서울도시가스㈜</v>
      </c>
      <c r="I63" s="147" t="str">
        <f>IF($E63="","",VLOOKUP($E63,$E$3:$L62,COLUMN()-3,))</f>
        <v>031-967-3322</v>
      </c>
      <c r="J63" s="147" t="str">
        <f>IF($E63="","",VLOOKUP($E63,$E$3:$L62,COLUMN()-3,))</f>
        <v>60057-29175</v>
      </c>
      <c r="K63" s="147" t="str">
        <f>IF($E63="","",VLOOKUP($E63,$E$3:$L62,COLUMN()-3,))</f>
        <v>카드: www.seoulgas.co.kr</v>
      </c>
      <c r="L63" s="147" t="str">
        <f>VLOOKUP($E63,$E$3:$L62,COLUMN()-4,)</f>
        <v>카드: www.seoulgas.co.kr</v>
      </c>
    </row>
    <row r="64" spans="1:13" ht="18" customHeight="1">
      <c r="A64" s="145">
        <f t="shared" si="1"/>
        <v>62</v>
      </c>
      <c r="B64" s="146">
        <v>44027</v>
      </c>
      <c r="C64" s="225" t="str">
        <f t="shared" si="0"/>
        <v>2020-07</v>
      </c>
      <c r="D64" s="146">
        <v>44024</v>
      </c>
      <c r="E64" s="147" t="s">
        <v>364</v>
      </c>
      <c r="F64" s="147">
        <v>12330</v>
      </c>
      <c r="G64" s="147" t="str">
        <f>IF($E64="","",VLOOKUP($E64,$E$3:$L63,COLUMN()-3,))</f>
        <v>594-064307-97-574</v>
      </c>
      <c r="H64" s="147" t="str">
        <f>IF($E64="","",VLOOKUP($E64,$E$3:$L63,COLUMN()-3,))</f>
        <v>한국전력공사</v>
      </c>
      <c r="I64" s="147">
        <f>IF($E64="","",VLOOKUP($E64,$E$3:$L63,COLUMN()-3,))</f>
        <v>123</v>
      </c>
      <c r="J64" s="147" t="str">
        <f>IF($E64="","",VLOOKUP($E64,$E$3:$L63,COLUMN()-3,))</f>
        <v>10-1349-8109</v>
      </c>
      <c r="K64" s="147" t="str">
        <f>IF($E64="","",VLOOKUP($E64,$E$3:$L63,COLUMN()-3,))</f>
        <v>cyber.kepco.co.kr</v>
      </c>
      <c r="L64" s="147" t="str">
        <f>VLOOKUP($E64,$E$3:$L63,COLUMN()-4,)</f>
        <v>cyber.kepco.co.kr</v>
      </c>
    </row>
    <row r="65" spans="1:12" ht="18" customHeight="1">
      <c r="A65" s="145">
        <f t="shared" si="1"/>
        <v>63</v>
      </c>
      <c r="B65" s="146">
        <v>44043</v>
      </c>
      <c r="C65" s="225" t="str">
        <f t="shared" si="0"/>
        <v>2020-07</v>
      </c>
      <c r="D65" s="146">
        <v>44044</v>
      </c>
      <c r="E65" s="147" t="s">
        <v>365</v>
      </c>
      <c r="F65" s="147">
        <v>19200</v>
      </c>
      <c r="G65" s="147" t="str">
        <f>IF($E65="","",VLOOKUP($E65,$E$3:$L64,COLUMN()-3,))</f>
        <v>217038-52-018959</v>
      </c>
      <c r="H65" s="147" t="str">
        <f>IF($E65="","",VLOOKUP($E65,$E$3:$L64,COLUMN()-3,))</f>
        <v>김미정</v>
      </c>
      <c r="I65" s="147" t="str">
        <f>IF($E65="","",VLOOKUP($E65,$E$3:$L64,COLUMN()-3,))</f>
        <v>010-7758-8204</v>
      </c>
      <c r="J65" s="147">
        <f>IF($E65="","",VLOOKUP($E65,$E$3:$L64,COLUMN()-3,))</f>
        <v>0</v>
      </c>
      <c r="K65" s="147" t="str">
        <f>IF($E65="","",VLOOKUP($E65,$E$3:$L64,COLUMN()-3,))</f>
        <v>푸른주택관리</v>
      </c>
      <c r="L65" s="147" t="str">
        <f>VLOOKUP($E65,$E$3:$L64,COLUMN()-4,)</f>
        <v>푸른주택관리</v>
      </c>
    </row>
    <row r="66" spans="1:12" ht="18" customHeight="1">
      <c r="A66" s="145">
        <f t="shared" si="1"/>
        <v>64</v>
      </c>
      <c r="B66" s="146">
        <v>44058</v>
      </c>
      <c r="C66" s="225" t="str">
        <f t="shared" si="0"/>
        <v>2020-08</v>
      </c>
      <c r="D66" s="146">
        <v>44058</v>
      </c>
      <c r="E66" s="147" t="s">
        <v>366</v>
      </c>
      <c r="F66" s="147">
        <v>1700</v>
      </c>
      <c r="G66" s="147" t="str">
        <f>IF($E66="","",VLOOKUP($E66,$E$3:$L65,COLUMN()-3,))</f>
        <v>59504952-497211</v>
      </c>
      <c r="H66" s="147" t="str">
        <f>IF($E66="","",VLOOKUP($E66,$E$3:$L65,COLUMN()-3,))</f>
        <v>서울도시가스㈜</v>
      </c>
      <c r="I66" s="147" t="str">
        <f>IF($E66="","",VLOOKUP($E66,$E$3:$L65,COLUMN()-3,))</f>
        <v>031-967-3322</v>
      </c>
      <c r="J66" s="147" t="str">
        <f>IF($E66="","",VLOOKUP($E66,$E$3:$L65,COLUMN()-3,))</f>
        <v>60057-29175</v>
      </c>
      <c r="K66" s="147" t="str">
        <f>IF($E66="","",VLOOKUP($E66,$E$3:$L65,COLUMN()-3,))</f>
        <v>카드: www.seoulgas.co.kr</v>
      </c>
      <c r="L66" s="147" t="str">
        <f>VLOOKUP($E66,$E$3:$L65,COLUMN()-4,)</f>
        <v>카드: www.seoulgas.co.kr</v>
      </c>
    </row>
    <row r="67" spans="1:12" ht="18" customHeight="1">
      <c r="A67" s="145">
        <f t="shared" si="1"/>
        <v>65</v>
      </c>
      <c r="B67" s="146">
        <v>44058</v>
      </c>
      <c r="C67" s="225" t="str">
        <f t="shared" si="0"/>
        <v>2020-08</v>
      </c>
      <c r="D67" s="146">
        <v>44058</v>
      </c>
      <c r="E67" s="147" t="s">
        <v>367</v>
      </c>
      <c r="F67" s="147">
        <v>12220</v>
      </c>
      <c r="G67" s="147" t="str">
        <f>IF($E67="","",VLOOKUP($E67,$E$3:$L66,COLUMN()-3,))</f>
        <v>594-064307-97-574</v>
      </c>
      <c r="H67" s="147" t="str">
        <f>IF($E67="","",VLOOKUP($E67,$E$3:$L66,COLUMN()-3,))</f>
        <v>한국전력공사</v>
      </c>
      <c r="I67" s="147">
        <f>IF($E67="","",VLOOKUP($E67,$E$3:$L66,COLUMN()-3,))</f>
        <v>123</v>
      </c>
      <c r="J67" s="147" t="str">
        <f>IF($E67="","",VLOOKUP($E67,$E$3:$L66,COLUMN()-3,))</f>
        <v>10-1349-8109</v>
      </c>
      <c r="K67" s="147" t="str">
        <f>IF($E67="","",VLOOKUP($E67,$E$3:$L66,COLUMN()-3,))</f>
        <v>cyber.kepco.co.kr</v>
      </c>
      <c r="L67" s="147" t="str">
        <f>VLOOKUP($E67,$E$3:$L66,COLUMN()-4,)</f>
        <v>cyber.kepco.co.kr</v>
      </c>
    </row>
    <row r="68" spans="1:12" ht="18" customHeight="1">
      <c r="A68" s="145">
        <f t="shared" si="1"/>
        <v>66</v>
      </c>
      <c r="B68" s="146">
        <v>44074</v>
      </c>
      <c r="C68" s="225" t="str">
        <f t="shared" ref="C68:C131" si="2">TEXT(B68,"yyyy-mm")</f>
        <v>2020-08</v>
      </c>
      <c r="D68" s="146">
        <v>44058</v>
      </c>
      <c r="E68" s="147" t="s">
        <v>383</v>
      </c>
      <c r="F68" s="147">
        <v>12500</v>
      </c>
      <c r="G68" s="147" t="str">
        <f>IF($E68="","",VLOOKUP($E68,$E$3:$L67,COLUMN()-3,))</f>
        <v>790142-20-498507</v>
      </c>
      <c r="H68" s="147" t="str">
        <f>IF($E68="","",VLOOKUP($E68,$E$3:$L67,COLUMN()-3,))</f>
        <v>고양시 덕약구</v>
      </c>
      <c r="I68" s="147" t="str">
        <f>IF($E68="","",VLOOKUP($E68,$E$3:$L67,COLUMN()-3,))</f>
        <v>1644-4600</v>
      </c>
      <c r="J68" s="147" t="str">
        <f>IF($E68="","",VLOOKUP($E68,$E$3:$L67,COLUMN()-3,))</f>
        <v>41281-1-10-19-3-1909904-0</v>
      </c>
      <c r="K68" s="147" t="e">
        <f>IF($E68="","",VLOOKUP($E68,$E$3:$L67,COLUMN()-3,))</f>
        <v>#N/A</v>
      </c>
      <c r="L68" s="147" t="e">
        <f>VLOOKUP($E68,$E$3:$L67,COLUMN()-4,)</f>
        <v>#N/A</v>
      </c>
    </row>
    <row r="69" spans="1:12" ht="18" customHeight="1">
      <c r="A69" s="145">
        <f t="shared" ref="A69:A131" si="3">A68+1</f>
        <v>67</v>
      </c>
      <c r="B69" s="146">
        <v>44074</v>
      </c>
      <c r="C69" s="225" t="str">
        <f t="shared" si="2"/>
        <v>2020-08</v>
      </c>
      <c r="D69" s="146">
        <v>44058</v>
      </c>
      <c r="E69" s="147" t="s">
        <v>384</v>
      </c>
      <c r="F69" s="147">
        <v>176650</v>
      </c>
      <c r="G69" s="147" t="str">
        <f>IF($E69="","",VLOOKUP($E69,$E$3:$L68,COLUMN()-3,))</f>
        <v>wetax.go.kr</v>
      </c>
      <c r="H69" s="147" t="str">
        <f>IF($E69="","",VLOOKUP($E69,$E$3:$L68,COLUMN()-3,))</f>
        <v>비씨카드</v>
      </c>
      <c r="I69" s="147">
        <f>IF($E69="","",VLOOKUP($E69,$E$3:$L68,COLUMN()-3,))</f>
        <v>0</v>
      </c>
      <c r="J69" s="147">
        <f>IF($E69="","",VLOOKUP($E69,$E$3:$L68,COLUMN()-3,))</f>
        <v>0</v>
      </c>
      <c r="K69" s="147" t="str">
        <f>IF($E69="","",VLOOKUP($E69,$E$3:$L68,COLUMN()-3,))</f>
        <v>6개월</v>
      </c>
      <c r="L69" s="147" t="str">
        <f>VLOOKUP($E69,$E$3:$L68,COLUMN()-4,)</f>
        <v>6개월</v>
      </c>
    </row>
    <row r="70" spans="1:12" ht="18" customHeight="1">
      <c r="A70" s="145">
        <f t="shared" si="3"/>
        <v>68</v>
      </c>
      <c r="B70" s="146">
        <v>44088</v>
      </c>
      <c r="C70" s="225" t="str">
        <f t="shared" si="2"/>
        <v>2020-09</v>
      </c>
      <c r="D70" s="146">
        <v>44058</v>
      </c>
      <c r="E70" s="147" t="s">
        <v>385</v>
      </c>
      <c r="F70" s="147">
        <v>32000</v>
      </c>
      <c r="G70" s="147" t="str">
        <f>IF($E70="","",VLOOKUP($E70,$E$3:$L69,COLUMN()-3,))</f>
        <v>41281-2-19-61-500772788</v>
      </c>
      <c r="H70" s="147" t="str">
        <f>IF($E70="","",VLOOKUP($E70,$E$3:$L69,COLUMN()-3,))</f>
        <v>교통행정과</v>
      </c>
      <c r="I70" s="147" t="str">
        <f>IF($E70="","",VLOOKUP($E70,$E$3:$L69,COLUMN()-3,))</f>
        <v>031-909-9000</v>
      </c>
      <c r="J70" s="147" t="str">
        <f>IF($E70="","",VLOOKUP($E70,$E$3:$L69,COLUMN()-3,))</f>
        <v>41281-2-19-61-500772788</v>
      </c>
      <c r="K70" s="147" t="str">
        <f>IF($E70="","",VLOOKUP($E70,$E$3:$L69,COLUMN()-3,))</f>
        <v>경찰청교통민원24(비씨카드)</v>
      </c>
      <c r="L70" s="147" t="str">
        <f>VLOOKUP($E70,$E$3:$L69,COLUMN()-4,)</f>
        <v>경찰청교통민원24(비씨카드)</v>
      </c>
    </row>
    <row r="71" spans="1:12" ht="18" customHeight="1">
      <c r="A71" s="145">
        <f t="shared" si="3"/>
        <v>69</v>
      </c>
      <c r="B71" s="146">
        <v>44074</v>
      </c>
      <c r="C71" s="225" t="str">
        <f t="shared" si="2"/>
        <v>2020-08</v>
      </c>
      <c r="D71" s="146">
        <v>44103</v>
      </c>
      <c r="E71" s="147" t="s">
        <v>386</v>
      </c>
      <c r="F71" s="147">
        <v>17900</v>
      </c>
      <c r="G71" s="147" t="str">
        <f>IF($E71="","",VLOOKUP($E71,$E$3:$L70,COLUMN()-3,))</f>
        <v>217038-52-018959</v>
      </c>
      <c r="H71" s="147" t="str">
        <f>IF($E71="","",VLOOKUP($E71,$E$3:$L70,COLUMN()-3,))</f>
        <v>김미정</v>
      </c>
      <c r="I71" s="147" t="str">
        <f>IF($E71="","",VLOOKUP($E71,$E$3:$L70,COLUMN()-3,))</f>
        <v>010-7758-8204</v>
      </c>
      <c r="J71" s="147">
        <f>IF($E71="","",VLOOKUP($E71,$E$3:$L70,COLUMN()-3,))</f>
        <v>0</v>
      </c>
      <c r="K71" s="147" t="str">
        <f>IF($E71="","",VLOOKUP($E71,$E$3:$L70,COLUMN()-3,))</f>
        <v>푸른주택관리</v>
      </c>
      <c r="L71" s="147" t="str">
        <f>VLOOKUP($E71,$E$3:$L70,COLUMN()-4,)</f>
        <v>푸른주택관리</v>
      </c>
    </row>
    <row r="72" spans="1:12" ht="18" customHeight="1">
      <c r="A72" s="145">
        <f t="shared" si="3"/>
        <v>70</v>
      </c>
      <c r="B72" s="146">
        <v>44089</v>
      </c>
      <c r="C72" s="225" t="str">
        <f t="shared" si="2"/>
        <v>2020-09</v>
      </c>
      <c r="D72" s="146">
        <v>44085</v>
      </c>
      <c r="E72" s="147" t="s">
        <v>387</v>
      </c>
      <c r="F72" s="147">
        <v>16040</v>
      </c>
      <c r="G72" s="147" t="str">
        <f>IF($E72="","",VLOOKUP($E72,$E$3:$L71,COLUMN()-3,))</f>
        <v>594-064307-97-574</v>
      </c>
      <c r="H72" s="147" t="str">
        <f>IF($E72="","",VLOOKUP($E72,$E$3:$L71,COLUMN()-3,))</f>
        <v>한국전력공사</v>
      </c>
      <c r="I72" s="147">
        <f>IF($E72="","",VLOOKUP($E72,$E$3:$L71,COLUMN()-3,))</f>
        <v>123</v>
      </c>
      <c r="J72" s="147" t="str">
        <f>IF($E72="","",VLOOKUP($E72,$E$3:$L71,COLUMN()-3,))</f>
        <v>10-1349-8109</v>
      </c>
      <c r="K72" s="147" t="str">
        <f>IF($E72="","",VLOOKUP($E72,$E$3:$L71,COLUMN()-3,))</f>
        <v>cyber.kepco.co.kr</v>
      </c>
      <c r="L72" s="147" t="str">
        <f>VLOOKUP($E72,$E$3:$L71,COLUMN()-4,)</f>
        <v>cyber.kepco.co.kr</v>
      </c>
    </row>
    <row r="73" spans="1:12" ht="18" customHeight="1">
      <c r="A73" s="145">
        <f t="shared" si="3"/>
        <v>71</v>
      </c>
      <c r="B73" s="146">
        <v>44089</v>
      </c>
      <c r="C73" s="225" t="str">
        <f t="shared" si="2"/>
        <v>2020-09</v>
      </c>
      <c r="D73" s="146">
        <v>44149</v>
      </c>
      <c r="E73" s="147" t="s">
        <v>388</v>
      </c>
      <c r="F73" s="147">
        <v>940</v>
      </c>
      <c r="G73" s="147" t="str">
        <f>IF($E73="","",VLOOKUP($E73,$E$3:$L72,COLUMN()-3,))</f>
        <v>59504952-497211</v>
      </c>
      <c r="H73" s="147" t="str">
        <f>IF($E73="","",VLOOKUP($E73,$E$3:$L72,COLUMN()-3,))</f>
        <v>서울도시가스㈜</v>
      </c>
      <c r="I73" s="147" t="str">
        <f>IF($E73="","",VLOOKUP($E73,$E$3:$L72,COLUMN()-3,))</f>
        <v>031-967-3322</v>
      </c>
      <c r="J73" s="147" t="str">
        <f>IF($E73="","",VLOOKUP($E73,$E$3:$L72,COLUMN()-3,))</f>
        <v>60057-29175</v>
      </c>
      <c r="K73" s="147" t="str">
        <f>IF($E73="","",VLOOKUP($E73,$E$3:$L72,COLUMN()-3,))</f>
        <v>카드: www.seoulgas.co.kr</v>
      </c>
      <c r="L73" s="147" t="str">
        <f>VLOOKUP($E73,$E$3:$L72,COLUMN()-4,)</f>
        <v>카드: www.seoulgas.co.kr</v>
      </c>
    </row>
    <row r="74" spans="1:12" ht="18" customHeight="1">
      <c r="A74" s="145">
        <f t="shared" si="3"/>
        <v>72</v>
      </c>
      <c r="B74" s="146">
        <v>44109</v>
      </c>
      <c r="C74" s="225" t="str">
        <f t="shared" si="2"/>
        <v>2020-10</v>
      </c>
      <c r="D74" s="146">
        <v>44088</v>
      </c>
      <c r="E74" s="147" t="s">
        <v>392</v>
      </c>
      <c r="F74" s="147">
        <v>20380</v>
      </c>
      <c r="G74" s="147">
        <f>IF($E74="","",VLOOKUP($E74,$E$3:$L73,COLUMN()-3,))</f>
        <v>0</v>
      </c>
      <c r="H74" s="147" t="str">
        <f>IF($E74="","",VLOOKUP($E74,$E$3:$L73,COLUMN()-3,))</f>
        <v>의령군</v>
      </c>
      <c r="I74" s="147">
        <f>IF($E74="","",VLOOKUP($E74,$E$3:$L73,COLUMN()-3,))</f>
        <v>0</v>
      </c>
      <c r="J74" s="147">
        <f>IF($E74="","",VLOOKUP($E74,$E$3:$L73,COLUMN()-3,))</f>
        <v>0</v>
      </c>
      <c r="K74" s="147" t="str">
        <f>IF($E74="","",VLOOKUP($E74,$E$3:$L73,COLUMN()-3,))</f>
        <v>인터넷 지로(비씨카드)</v>
      </c>
      <c r="L74" s="147" t="str">
        <f>VLOOKUP($E74,$E$3:$L73,COLUMN()-4,)</f>
        <v>인터넷 지로(비씨카드)</v>
      </c>
    </row>
    <row r="75" spans="1:12" ht="18" customHeight="1">
      <c r="A75" s="145">
        <f t="shared" si="3"/>
        <v>73</v>
      </c>
      <c r="B75" s="146">
        <v>44104</v>
      </c>
      <c r="C75" s="225" t="str">
        <f t="shared" si="2"/>
        <v>2020-09</v>
      </c>
      <c r="D75" s="146">
        <v>44103</v>
      </c>
      <c r="E75" s="147" t="s">
        <v>393</v>
      </c>
      <c r="F75" s="147">
        <v>18600</v>
      </c>
      <c r="G75" s="147" t="str">
        <f>IF($E75="","",VLOOKUP($E75,$E$3:$L74,COLUMN()-3,))</f>
        <v>217038-52-018959</v>
      </c>
      <c r="H75" s="147" t="str">
        <f>IF($E75="","",VLOOKUP($E75,$E$3:$L74,COLUMN()-3,))</f>
        <v>김미정</v>
      </c>
      <c r="I75" s="147" t="str">
        <f>IF($E75="","",VLOOKUP($E75,$E$3:$L74,COLUMN()-3,))</f>
        <v>010-7758-8204</v>
      </c>
      <c r="J75" s="147">
        <f>IF($E75="","",VLOOKUP($E75,$E$3:$L74,COLUMN()-3,))</f>
        <v>0</v>
      </c>
      <c r="K75" s="147" t="str">
        <f>IF($E75="","",VLOOKUP($E75,$E$3:$L74,COLUMN()-3,))</f>
        <v>푸른주택관리</v>
      </c>
      <c r="L75" s="147" t="str">
        <f>VLOOKUP($E75,$E$3:$L74,COLUMN()-4,)</f>
        <v>푸른주택관리</v>
      </c>
    </row>
    <row r="76" spans="1:12" ht="18" customHeight="1">
      <c r="A76" s="145">
        <f t="shared" si="3"/>
        <v>74</v>
      </c>
      <c r="B76" s="146">
        <v>44119</v>
      </c>
      <c r="C76" s="225" t="str">
        <f t="shared" si="2"/>
        <v>2020-10</v>
      </c>
      <c r="D76" s="146">
        <v>44149</v>
      </c>
      <c r="E76" s="147" t="s">
        <v>394</v>
      </c>
      <c r="F76" s="147">
        <v>14880</v>
      </c>
      <c r="G76" s="147" t="str">
        <f>IF($E76="","",VLOOKUP($E76,$E$3:$L75,COLUMN()-3,))</f>
        <v>594-064307-97-574</v>
      </c>
      <c r="H76" s="147" t="str">
        <f>IF($E76="","",VLOOKUP($E76,$E$3:$L75,COLUMN()-3,))</f>
        <v>한국전력공사</v>
      </c>
      <c r="I76" s="147">
        <f>IF($E76="","",VLOOKUP($E76,$E$3:$L75,COLUMN()-3,))</f>
        <v>123</v>
      </c>
      <c r="J76" s="147" t="str">
        <f>IF($E76="","",VLOOKUP($E76,$E$3:$L75,COLUMN()-3,))</f>
        <v>10-1349-8109</v>
      </c>
      <c r="K76" s="147" t="str">
        <f>IF($E76="","",VLOOKUP($E76,$E$3:$L75,COLUMN()-3,))</f>
        <v>cyber.kepco.co.kr</v>
      </c>
      <c r="L76" s="147" t="str">
        <f>VLOOKUP($E76,$E$3:$L75,COLUMN()-4,)</f>
        <v>cyber.kepco.co.kr</v>
      </c>
    </row>
    <row r="77" spans="1:12" ht="18" customHeight="1">
      <c r="A77" s="145">
        <f t="shared" si="3"/>
        <v>75</v>
      </c>
      <c r="B77" s="146">
        <v>44119</v>
      </c>
      <c r="C77" s="225" t="str">
        <f t="shared" si="2"/>
        <v>2020-10</v>
      </c>
      <c r="D77" s="146">
        <v>44149</v>
      </c>
      <c r="E77" s="147" t="s">
        <v>395</v>
      </c>
      <c r="F77" s="147">
        <v>1610</v>
      </c>
      <c r="G77" s="147" t="str">
        <f>IF($E77="","",VLOOKUP($E77,$E$3:$L76,COLUMN()-3,))</f>
        <v>59504952-497211</v>
      </c>
      <c r="H77" s="147" t="str">
        <f>IF($E77="","",VLOOKUP($E77,$E$3:$L76,COLUMN()-3,))</f>
        <v>서울도시가스㈜</v>
      </c>
      <c r="I77" s="147" t="str">
        <f>IF($E77="","",VLOOKUP($E77,$E$3:$L76,COLUMN()-3,))</f>
        <v>031-967-3322</v>
      </c>
      <c r="J77" s="147" t="str">
        <f>IF($E77="","",VLOOKUP($E77,$E$3:$L76,COLUMN()-3,))</f>
        <v>60057-29175</v>
      </c>
      <c r="K77" s="147" t="str">
        <f>IF($E77="","",VLOOKUP($E77,$E$3:$L76,COLUMN()-3,))</f>
        <v>카드: www.seoulgas.co.kr</v>
      </c>
      <c r="L77" s="147" t="str">
        <f>VLOOKUP($E77,$E$3:$L76,COLUMN()-4,)</f>
        <v>카드: www.seoulgas.co.kr</v>
      </c>
    </row>
    <row r="78" spans="1:12" ht="18" customHeight="1">
      <c r="A78" s="145">
        <f t="shared" si="3"/>
        <v>76</v>
      </c>
      <c r="B78" s="146">
        <v>44135</v>
      </c>
      <c r="C78" s="225" t="str">
        <f t="shared" si="2"/>
        <v>2020-10</v>
      </c>
      <c r="D78" s="146">
        <v>44135</v>
      </c>
      <c r="E78" s="147" t="s">
        <v>396</v>
      </c>
      <c r="F78" s="147">
        <v>36900</v>
      </c>
      <c r="G78" s="147" t="str">
        <f>IF($E78="","",VLOOKUP($E78,$E$3:$L77,COLUMN()-3,))</f>
        <v>217038-52-018959</v>
      </c>
      <c r="H78" s="147" t="str">
        <f>IF($E78="","",VLOOKUP($E78,$E$3:$L77,COLUMN()-3,))</f>
        <v>김미정</v>
      </c>
      <c r="I78" s="147" t="str">
        <f>IF($E78="","",VLOOKUP($E78,$E$3:$L77,COLUMN()-3,))</f>
        <v>010-7758-8204</v>
      </c>
      <c r="J78" s="147">
        <f>IF($E78="","",VLOOKUP($E78,$E$3:$L77,COLUMN()-3,))</f>
        <v>0</v>
      </c>
      <c r="K78" s="147" t="str">
        <f>IF($E78="","",VLOOKUP($E78,$E$3:$L77,COLUMN()-3,))</f>
        <v>푸른주택관리</v>
      </c>
      <c r="L78" s="147" t="str">
        <f>VLOOKUP($E78,$E$3:$L77,COLUMN()-4,)</f>
        <v>푸른주택관리</v>
      </c>
    </row>
    <row r="79" spans="1:12" ht="18" customHeight="1">
      <c r="A79" s="145">
        <f t="shared" si="3"/>
        <v>77</v>
      </c>
      <c r="B79" s="146">
        <v>44150</v>
      </c>
      <c r="C79" s="225" t="str">
        <f t="shared" si="2"/>
        <v>2020-11</v>
      </c>
      <c r="D79" s="146">
        <v>44149</v>
      </c>
      <c r="E79" s="147" t="s">
        <v>402</v>
      </c>
      <c r="F79" s="147">
        <v>11550</v>
      </c>
      <c r="G79" s="147" t="str">
        <f>IF($E79="","",VLOOKUP($E79,$E$3:$L78,COLUMN()-3,))</f>
        <v>594-064307-97-574</v>
      </c>
      <c r="H79" s="147" t="str">
        <f>IF($E79="","",VLOOKUP($E79,$E$3:$L78,COLUMN()-3,))</f>
        <v>한국전력공사</v>
      </c>
      <c r="I79" s="147">
        <f>IF($E79="","",VLOOKUP($E79,$E$3:$L78,COLUMN()-3,))</f>
        <v>123</v>
      </c>
      <c r="J79" s="147" t="str">
        <f>IF($E79="","",VLOOKUP($E79,$E$3:$L78,COLUMN()-3,))</f>
        <v>10-1349-8109</v>
      </c>
      <c r="K79" s="147" t="str">
        <f>IF($E79="","",VLOOKUP($E79,$E$3:$L78,COLUMN()-3,))</f>
        <v>cyber.kepco.co.kr</v>
      </c>
      <c r="L79" s="147" t="str">
        <f>VLOOKUP($E79,$E$3:$L78,COLUMN()-4,)</f>
        <v>cyber.kepco.co.kr</v>
      </c>
    </row>
    <row r="80" spans="1:12" ht="18" customHeight="1">
      <c r="A80" s="145">
        <f t="shared" si="3"/>
        <v>78</v>
      </c>
      <c r="B80" s="146">
        <v>44150</v>
      </c>
      <c r="C80" s="225" t="str">
        <f t="shared" si="2"/>
        <v>2020-11</v>
      </c>
      <c r="D80" s="146">
        <v>44149</v>
      </c>
      <c r="E80" s="147" t="s">
        <v>403</v>
      </c>
      <c r="F80" s="147">
        <v>2310</v>
      </c>
      <c r="G80" s="147" t="str">
        <f>IF($E80="","",VLOOKUP($E80,$E$3:$L79,COLUMN()-3,))</f>
        <v>59504952-497211</v>
      </c>
      <c r="H80" s="147" t="str">
        <f>IF($E80="","",VLOOKUP($E80,$E$3:$L79,COLUMN()-3,))</f>
        <v>서울도시가스㈜</v>
      </c>
      <c r="I80" s="147" t="str">
        <f>IF($E80="","",VLOOKUP($E80,$E$3:$L79,COLUMN()-3,))</f>
        <v>031-967-3322</v>
      </c>
      <c r="J80" s="147" t="str">
        <f>IF($E80="","",VLOOKUP($E80,$E$3:$L79,COLUMN()-3,))</f>
        <v>60057-29175</v>
      </c>
      <c r="K80" s="147" t="str">
        <f>IF($E80="","",VLOOKUP($E80,$E$3:$L79,COLUMN()-3,))</f>
        <v>카드: www.seoulgas.co.kr</v>
      </c>
      <c r="L80" s="147" t="str">
        <f>VLOOKUP($E80,$E$3:$L79,COLUMN()-4,)</f>
        <v>카드: www.seoulgas.co.kr</v>
      </c>
    </row>
    <row r="81" spans="1:18" ht="18" customHeight="1">
      <c r="A81" s="145">
        <f t="shared" si="3"/>
        <v>79</v>
      </c>
      <c r="B81" s="146">
        <v>44165</v>
      </c>
      <c r="C81" s="225" t="str">
        <f t="shared" si="2"/>
        <v>2020-11</v>
      </c>
      <c r="D81" s="146"/>
      <c r="E81" s="147" t="s">
        <v>406</v>
      </c>
      <c r="F81" s="147"/>
      <c r="G81" s="147" t="str">
        <f>IF($E81="","",VLOOKUP($E81,$E$3:$L80,COLUMN()-3,))</f>
        <v>217038-52-018959</v>
      </c>
      <c r="H81" s="147" t="str">
        <f>IF($E81="","",VLOOKUP($E81,$E$3:$L80,COLUMN()-3,))</f>
        <v>김미정</v>
      </c>
      <c r="I81" s="147" t="str">
        <f>IF($E81="","",VLOOKUP($E81,$E$3:$L80,COLUMN()-3,))</f>
        <v>010-7758-8204</v>
      </c>
      <c r="J81" s="147">
        <f>IF($E81="","",VLOOKUP($E81,$E$3:$L80,COLUMN()-3,))</f>
        <v>0</v>
      </c>
      <c r="K81" s="147" t="str">
        <f>IF($E81="","",VLOOKUP($E81,$E$3:$L80,COLUMN()-3,))</f>
        <v>푸른주택관리</v>
      </c>
      <c r="L81" s="147" t="str">
        <f>VLOOKUP($E81,$E$3:$L80,COLUMN()-4,)</f>
        <v>푸른주택관리</v>
      </c>
    </row>
    <row r="82" spans="1:18" ht="18" customHeight="1">
      <c r="A82" s="145">
        <f t="shared" si="3"/>
        <v>80</v>
      </c>
      <c r="B82" s="146">
        <v>44174</v>
      </c>
      <c r="C82" s="225" t="str">
        <f t="shared" si="2"/>
        <v>2020-12</v>
      </c>
      <c r="D82" s="146">
        <v>44171</v>
      </c>
      <c r="E82" s="147" t="s">
        <v>404</v>
      </c>
      <c r="F82" s="147">
        <v>32000</v>
      </c>
      <c r="G82" s="147" t="str">
        <f>IF($E82="","",VLOOKUP($E82,$E$3:$L80,COLUMN()-3,))</f>
        <v>41281-2-19-61-500772788</v>
      </c>
      <c r="H82" s="147" t="str">
        <f>IF($E82="","",VLOOKUP($E82,$E$3:$L80,COLUMN()-3,))</f>
        <v>교통행정과</v>
      </c>
      <c r="I82" s="147" t="str">
        <f>IF($E82="","",VLOOKUP($E82,$E$3:$L80,COLUMN()-3,))</f>
        <v>031-909-9000</v>
      </c>
      <c r="J82" s="147" t="str">
        <f>IF($E82="","",VLOOKUP($E82,$E$3:$L80,COLUMN()-3,))</f>
        <v>41281-2-19-61-500772788</v>
      </c>
      <c r="K82" s="147" t="str">
        <f>IF($E82="","",VLOOKUP($E82,$E$3:$L80,COLUMN()-3,))</f>
        <v>경찰청교통민원24(비씨카드)</v>
      </c>
      <c r="L82" s="147" t="str">
        <f>VLOOKUP($E82,$E$3:$L81,COLUMN()-4,)</f>
        <v>경찰청교통민원24(비씨카드)</v>
      </c>
    </row>
    <row r="83" spans="1:18" ht="18" customHeight="1">
      <c r="A83" s="145">
        <f t="shared" si="3"/>
        <v>81</v>
      </c>
      <c r="B83" s="146">
        <v>44174</v>
      </c>
      <c r="C83" s="225" t="str">
        <f t="shared" si="2"/>
        <v>2020-12</v>
      </c>
      <c r="D83" s="146">
        <v>44171</v>
      </c>
      <c r="E83" s="147" t="s">
        <v>416</v>
      </c>
      <c r="F83" s="147">
        <v>3200</v>
      </c>
      <c r="G83" s="147" t="s">
        <v>417</v>
      </c>
      <c r="H83" s="147"/>
      <c r="I83" s="147"/>
      <c r="J83" s="147"/>
      <c r="K83" s="147"/>
      <c r="L83" s="147"/>
    </row>
    <row r="84" spans="1:18" ht="18" customHeight="1">
      <c r="A84" s="145">
        <f t="shared" si="3"/>
        <v>82</v>
      </c>
      <c r="B84" s="146">
        <v>44180</v>
      </c>
      <c r="C84" s="225" t="str">
        <f t="shared" si="2"/>
        <v>2020-12</v>
      </c>
      <c r="D84" s="146"/>
      <c r="E84" s="147" t="s">
        <v>407</v>
      </c>
      <c r="F84" s="147"/>
      <c r="G84" s="147" t="str">
        <f>IF($E84="","",VLOOKUP($E84,$E$3:$L81,COLUMN()-3,))</f>
        <v>594-064307-97-574</v>
      </c>
      <c r="H84" s="147" t="str">
        <f>IF($E84="","",VLOOKUP($E84,$E$3:$L81,COLUMN()-3,))</f>
        <v>한국전력공사</v>
      </c>
      <c r="I84" s="147">
        <f>IF($E84="","",VLOOKUP($E84,$E$3:$L81,COLUMN()-3,))</f>
        <v>123</v>
      </c>
      <c r="J84" s="147" t="str">
        <f>IF($E84="","",VLOOKUP($E84,$E$3:$L81,COLUMN()-3,))</f>
        <v>10-1349-8109</v>
      </c>
      <c r="K84" s="147" t="str">
        <f>IF($E84="","",VLOOKUP($E84,$E$3:$L81,COLUMN()-3,))</f>
        <v>cyber.kepco.co.kr</v>
      </c>
      <c r="L84" s="147" t="str">
        <f>VLOOKUP($E84,$E$3:$L83,COLUMN()-4,)</f>
        <v>cyber.kepco.co.kr</v>
      </c>
    </row>
    <row r="85" spans="1:18" ht="18" customHeight="1">
      <c r="A85" s="145">
        <f t="shared" si="3"/>
        <v>83</v>
      </c>
      <c r="B85" s="146">
        <v>44180</v>
      </c>
      <c r="C85" s="225" t="str">
        <f t="shared" si="2"/>
        <v>2020-12</v>
      </c>
      <c r="D85" s="146"/>
      <c r="E85" s="147" t="s">
        <v>408</v>
      </c>
      <c r="F85" s="147"/>
      <c r="G85" s="147" t="str">
        <f>IF($E85="","",VLOOKUP($E85,$E$3:$L82,COLUMN()-3,))</f>
        <v>59504952-497211</v>
      </c>
      <c r="H85" s="147" t="str">
        <f>IF($E85="","",VLOOKUP($E85,$E$3:$L82,COLUMN()-3,))</f>
        <v>서울도시가스㈜</v>
      </c>
      <c r="I85" s="147" t="str">
        <f>IF($E85="","",VLOOKUP($E85,$E$3:$L82,COLUMN()-3,))</f>
        <v>031-967-3322</v>
      </c>
      <c r="J85" s="147" t="str">
        <f>IF($E85="","",VLOOKUP($E85,$E$3:$L82,COLUMN()-3,))</f>
        <v>60057-29175</v>
      </c>
      <c r="K85" s="147" t="str">
        <f>IF($E85="","",VLOOKUP($E85,$E$3:$L82,COLUMN()-3,))</f>
        <v>카드: www.seoulgas.co.kr</v>
      </c>
      <c r="L85" s="147" t="str">
        <f>VLOOKUP($E85,$E$3:$L84,COLUMN()-4,)</f>
        <v>카드: www.seoulgas.co.kr</v>
      </c>
    </row>
    <row r="86" spans="1:18" ht="18" customHeight="1">
      <c r="A86" s="145">
        <f t="shared" si="3"/>
        <v>84</v>
      </c>
      <c r="B86" s="146">
        <v>44181</v>
      </c>
      <c r="C86" s="225" t="str">
        <f t="shared" si="2"/>
        <v>2020-12</v>
      </c>
      <c r="D86" s="146">
        <v>44171</v>
      </c>
      <c r="E86" s="147" t="s">
        <v>405</v>
      </c>
      <c r="F86" s="147">
        <v>32000</v>
      </c>
      <c r="G86" s="147" t="str">
        <f>IF($E86="","",VLOOKUP($E86,$E$3:$L82,COLUMN()-3,))</f>
        <v>41281-2-19-61-500772788</v>
      </c>
      <c r="H86" s="147" t="str">
        <f>IF($E86="","",VLOOKUP($E86,$E$3:$L82,COLUMN()-3,))</f>
        <v>교통행정과</v>
      </c>
      <c r="I86" s="147" t="str">
        <f>IF($E86="","",VLOOKUP($E86,$E$3:$L82,COLUMN()-3,))</f>
        <v>031-909-9000</v>
      </c>
      <c r="J86" s="147" t="str">
        <f>IF($E86="","",VLOOKUP($E86,$E$3:$L82,COLUMN()-3,))</f>
        <v>41281-2-19-61-500772788</v>
      </c>
      <c r="K86" s="147" t="str">
        <f>IF($E86="","",VLOOKUP($E86,$E$3:$L82,COLUMN()-3,))</f>
        <v>경찰청교통민원24(비씨카드)</v>
      </c>
      <c r="L86" s="147" t="str">
        <f>VLOOKUP($E86,$E$3:$L85,COLUMN()-4,)</f>
        <v>경찰청교통민원24(비씨카드)</v>
      </c>
      <c r="P86" s="2"/>
      <c r="Q86" s="2"/>
      <c r="R86" s="2"/>
    </row>
    <row r="87" spans="1:18" ht="18" customHeight="1">
      <c r="A87" s="145">
        <f t="shared" si="3"/>
        <v>85</v>
      </c>
      <c r="B87" s="146">
        <v>44189</v>
      </c>
      <c r="C87" s="225" t="str">
        <f t="shared" si="2"/>
        <v>2020-12</v>
      </c>
      <c r="D87" s="146">
        <v>44171</v>
      </c>
      <c r="E87" s="147" t="s">
        <v>414</v>
      </c>
      <c r="F87" s="147">
        <v>70000</v>
      </c>
      <c r="G87" s="147" t="str">
        <f>IF($E87="","",VLOOKUP($E87,$E$3:$L84,COLUMN()-3,))</f>
        <v>41281-2-19-61-500772788</v>
      </c>
      <c r="H87" s="147" t="str">
        <f>IF($E87="","",VLOOKUP($E87,$E$3:$L84,COLUMN()-3,))</f>
        <v>교통행정과</v>
      </c>
      <c r="I87" s="147" t="str">
        <f>IF($E87="","",VLOOKUP($E87,$E$3:$L84,COLUMN()-3,))</f>
        <v>031-909-9000</v>
      </c>
      <c r="J87" s="147" t="str">
        <f>IF($E87="","",VLOOKUP($E87,$E$3:$L84,COLUMN()-3,))</f>
        <v>41281-2-19-61-500772788</v>
      </c>
      <c r="K87" s="147" t="str">
        <f>IF($E87="","",VLOOKUP($E87,$E$3:$L84,COLUMN()-3,))</f>
        <v>경찰청교통민원24(비씨카드)</v>
      </c>
      <c r="L87" s="147" t="str">
        <f>VLOOKUP($E87,$E$3:$L86,COLUMN()-4,)</f>
        <v>경찰청교통민원24(비씨카드)</v>
      </c>
      <c r="O87" s="2"/>
      <c r="P87" s="2"/>
      <c r="Q87" s="2"/>
      <c r="R87" s="2"/>
    </row>
    <row r="88" spans="1:18" ht="18" customHeight="1">
      <c r="A88" s="145">
        <f t="shared" si="3"/>
        <v>86</v>
      </c>
      <c r="B88" s="146">
        <v>44196</v>
      </c>
      <c r="C88" s="225" t="str">
        <f t="shared" si="2"/>
        <v>2020-12</v>
      </c>
      <c r="D88" s="146">
        <v>44185</v>
      </c>
      <c r="E88" s="147" t="s">
        <v>418</v>
      </c>
      <c r="F88" s="147">
        <v>157220</v>
      </c>
      <c r="G88" s="147" t="str">
        <f>IF($E88="","",VLOOKUP($E88,$E$3:$L85,COLUMN()-3,))</f>
        <v>wetax.go.kr</v>
      </c>
      <c r="H88" s="147" t="str">
        <f>IF($E88="","",VLOOKUP($E88,$E$3:$L85,COLUMN()-3,))</f>
        <v>비씨카드</v>
      </c>
      <c r="I88" s="147">
        <f>IF($E88="","",VLOOKUP($E88,$E$3:$L85,COLUMN()-3,))</f>
        <v>0</v>
      </c>
      <c r="J88" s="147">
        <f>IF($E88="","",VLOOKUP($E88,$E$3:$L85,COLUMN()-3,))</f>
        <v>0</v>
      </c>
      <c r="K88" s="147" t="str">
        <f>IF($E88="","",VLOOKUP($E88,$E$3:$L85,COLUMN()-3,))</f>
        <v>6개월</v>
      </c>
      <c r="L88" s="147" t="str">
        <f>VLOOKUP($E88,$E$3:$L87,COLUMN()-4,)</f>
        <v>6개월</v>
      </c>
      <c r="Q88" s="2"/>
      <c r="R88" s="2"/>
    </row>
    <row r="89" spans="1:18" ht="18" customHeight="1">
      <c r="A89" s="145">
        <f t="shared" si="3"/>
        <v>87</v>
      </c>
      <c r="B89" s="146">
        <v>44207</v>
      </c>
      <c r="C89" s="225" t="str">
        <f t="shared" si="2"/>
        <v>2021-01</v>
      </c>
      <c r="D89" s="146">
        <v>44208</v>
      </c>
      <c r="E89" s="147" t="s">
        <v>420</v>
      </c>
      <c r="F89" s="147">
        <v>15330</v>
      </c>
      <c r="G89" s="147" t="s">
        <v>421</v>
      </c>
      <c r="H89" s="147" t="s">
        <v>422</v>
      </c>
      <c r="I89" s="147" t="s">
        <v>423</v>
      </c>
      <c r="J89" s="147" t="s">
        <v>424</v>
      </c>
      <c r="K89" s="147"/>
      <c r="L89" s="147"/>
    </row>
    <row r="90" spans="1:18" ht="18" customHeight="1">
      <c r="A90" s="145">
        <f t="shared" si="3"/>
        <v>88</v>
      </c>
      <c r="B90" s="146">
        <v>44237</v>
      </c>
      <c r="C90" s="225" t="str">
        <f t="shared" si="2"/>
        <v>2021-02</v>
      </c>
      <c r="D90" s="146">
        <v>44238</v>
      </c>
      <c r="E90" s="147" t="s">
        <v>425</v>
      </c>
      <c r="F90" s="147">
        <v>153110</v>
      </c>
      <c r="G90" s="147" t="str">
        <f>IF($E90="","",VLOOKUP($E90,$E$3:$L89,COLUMN()-3,))</f>
        <v>293-133629-01-001</v>
      </c>
      <c r="H90" s="147" t="str">
        <f>IF($E90="","",VLOOKUP($E90,$E$3:$L89,COLUMN()-3,))</f>
        <v>대우시티프라자</v>
      </c>
      <c r="I90" s="147" t="str">
        <f>IF($E90="","",VLOOKUP($E90,$E$3:$L89,COLUMN()-3,))</f>
        <v>031-921-6507~8</v>
      </c>
      <c r="J90" s="147">
        <f>IF($E90="","",VLOOKUP($E90,$E$3:$L89,COLUMN()-3,))</f>
        <v>0</v>
      </c>
      <c r="K90" s="147"/>
      <c r="L90" s="147"/>
    </row>
    <row r="91" spans="1:18" ht="18" customHeight="1">
      <c r="A91" s="145">
        <f t="shared" si="3"/>
        <v>89</v>
      </c>
      <c r="B91" s="146">
        <v>44265</v>
      </c>
      <c r="C91" s="225" t="str">
        <f t="shared" si="2"/>
        <v>2021-03</v>
      </c>
      <c r="D91" s="146">
        <v>44262</v>
      </c>
      <c r="E91" s="147" t="s">
        <v>427</v>
      </c>
      <c r="F91" s="147">
        <v>174520</v>
      </c>
      <c r="G91" s="147" t="str">
        <f>IF($E91="","",VLOOKUP($E91,$E$3:$L90,COLUMN()-3,))</f>
        <v>293-133629-01-001</v>
      </c>
      <c r="H91" s="147" t="str">
        <f>IF($E91="","",VLOOKUP($E91,$E$3:$L90,COLUMN()-3,))</f>
        <v>대우시티프라자</v>
      </c>
      <c r="I91" s="147" t="str">
        <f>IF($E91="","",VLOOKUP($E91,$E$3:$L90,COLUMN()-3,))</f>
        <v>031-921-6507~8</v>
      </c>
      <c r="J91" s="147">
        <f>IF($E91="","",VLOOKUP($E91,$E$3:$L90,COLUMN()-3,))</f>
        <v>0</v>
      </c>
      <c r="K91" s="147"/>
      <c r="L91" s="147"/>
    </row>
    <row r="92" spans="1:18" ht="18" customHeight="1">
      <c r="A92" s="145">
        <f t="shared" si="3"/>
        <v>90</v>
      </c>
      <c r="B92" s="146">
        <v>44296</v>
      </c>
      <c r="C92" s="225" t="str">
        <f t="shared" si="2"/>
        <v>2021-04</v>
      </c>
      <c r="D92" s="146">
        <v>44289</v>
      </c>
      <c r="E92" s="147" t="s">
        <v>427</v>
      </c>
      <c r="F92" s="147">
        <v>136080</v>
      </c>
      <c r="G92" s="147" t="str">
        <f>IF($E92="","",VLOOKUP($E92,$E$3:$L91,COLUMN()-3,))</f>
        <v>293-133629-01-001</v>
      </c>
      <c r="H92" s="147" t="str">
        <f>IF($E92="","",VLOOKUP($E92,$E$3:$L91,COLUMN()-3,))</f>
        <v>대우시티프라자</v>
      </c>
      <c r="I92" s="147" t="str">
        <f>IF($E92="","",VLOOKUP($E92,$E$3:$L91,COLUMN()-3,))</f>
        <v>031-921-6507~8</v>
      </c>
      <c r="J92" s="147">
        <f>IF($E92="","",VLOOKUP($E92,$E$3:$L91,COLUMN()-3,))</f>
        <v>0</v>
      </c>
      <c r="K92" s="147"/>
      <c r="L92" s="147"/>
    </row>
    <row r="93" spans="1:18" ht="18" customHeight="1">
      <c r="A93" s="145">
        <f t="shared" si="3"/>
        <v>91</v>
      </c>
      <c r="B93" s="146">
        <v>44326</v>
      </c>
      <c r="C93" s="225" t="str">
        <f t="shared" si="2"/>
        <v>2021-05</v>
      </c>
      <c r="D93" s="146">
        <v>44321</v>
      </c>
      <c r="E93" s="147" t="s">
        <v>429</v>
      </c>
      <c r="F93" s="147">
        <v>120680</v>
      </c>
      <c r="G93" s="147" t="str">
        <f>IF($E93="","",VLOOKUP($E93,$E$3:$L92,COLUMN()-3,))</f>
        <v>293-133629-01-001</v>
      </c>
      <c r="H93" s="147" t="str">
        <f>IF($E93="","",VLOOKUP($E93,$E$3:$L92,COLUMN()-3,))</f>
        <v>대우시티프라자</v>
      </c>
      <c r="I93" s="147" t="str">
        <f>IF($E93="","",VLOOKUP($E93,$E$3:$L92,COLUMN()-3,))</f>
        <v>031-921-6507~8</v>
      </c>
      <c r="J93" s="147">
        <f>IF($E93="","",VLOOKUP($E93,$E$3:$L92,COLUMN()-3,))</f>
        <v>0</v>
      </c>
      <c r="K93" s="147"/>
      <c r="L93" s="147"/>
    </row>
    <row r="94" spans="1:18" ht="18" customHeight="1">
      <c r="A94" s="145">
        <f t="shared" si="3"/>
        <v>92</v>
      </c>
      <c r="B94" s="146">
        <v>44357</v>
      </c>
      <c r="C94" s="225" t="str">
        <f t="shared" si="2"/>
        <v>2021-06</v>
      </c>
      <c r="D94" s="146">
        <v>44353</v>
      </c>
      <c r="E94" s="147" t="s">
        <v>429</v>
      </c>
      <c r="F94" s="147">
        <v>110740</v>
      </c>
      <c r="G94" s="147" t="str">
        <f>IF($E94="","",VLOOKUP($E94,$E$3:$L93,COLUMN()-3,))</f>
        <v>293-133629-01-001</v>
      </c>
      <c r="H94" s="147" t="str">
        <f>IF($E94="","",VLOOKUP($E94,$E$3:$L93,COLUMN()-3,))</f>
        <v>대우시티프라자</v>
      </c>
      <c r="I94" s="147" t="str">
        <f>IF($E94="","",VLOOKUP($E94,$E$3:$L93,COLUMN()-3,))</f>
        <v>031-921-6507~8</v>
      </c>
      <c r="J94" s="147">
        <f>IF($E94="","",VLOOKUP($E94,$E$3:$L93,COLUMN()-3,))</f>
        <v>0</v>
      </c>
      <c r="K94" s="147"/>
      <c r="L94" s="147"/>
    </row>
    <row r="95" spans="1:18" ht="18" customHeight="1">
      <c r="A95" s="145">
        <f t="shared" si="3"/>
        <v>93</v>
      </c>
      <c r="B95" s="146">
        <v>44389</v>
      </c>
      <c r="C95" s="225" t="str">
        <f t="shared" si="2"/>
        <v>2021-07</v>
      </c>
      <c r="D95" s="146">
        <v>44388</v>
      </c>
      <c r="E95" s="147" t="s">
        <v>429</v>
      </c>
      <c r="F95" s="147">
        <v>110740</v>
      </c>
      <c r="G95" s="147" t="str">
        <f>IF($E95="","",VLOOKUP($E95,$E$3:$L94,COLUMN()-3,))</f>
        <v>293-133629-01-001</v>
      </c>
      <c r="H95" s="147" t="str">
        <f>IF($E95="","",VLOOKUP($E95,$E$3:$L94,COLUMN()-3,))</f>
        <v>대우시티프라자</v>
      </c>
      <c r="I95" s="147" t="str">
        <f>IF($E95="","",VLOOKUP($E95,$E$3:$L94,COLUMN()-3,))</f>
        <v>031-921-6507~8</v>
      </c>
      <c r="J95" s="147">
        <f>IF($E95="","",VLOOKUP($E95,$E$3:$L94,COLUMN()-3,))</f>
        <v>0</v>
      </c>
      <c r="K95" s="147"/>
      <c r="L95" s="147"/>
    </row>
    <row r="96" spans="1:18" ht="18" customHeight="1">
      <c r="A96" s="145">
        <f t="shared" si="3"/>
        <v>94</v>
      </c>
      <c r="B96" s="146">
        <v>44377</v>
      </c>
      <c r="C96" s="225" t="str">
        <f t="shared" si="2"/>
        <v>2021-06</v>
      </c>
      <c r="D96" s="146">
        <v>44408</v>
      </c>
      <c r="E96" s="147" t="s">
        <v>430</v>
      </c>
      <c r="F96" s="147">
        <v>157220</v>
      </c>
      <c r="G96" s="147" t="str">
        <f>IF($E96="","",VLOOKUP($E96,$E$3:$L93,COLUMN()-3,))</f>
        <v>wetax.go.kr</v>
      </c>
      <c r="H96" s="147" t="str">
        <f>IF($E96="","",VLOOKUP($E96,$E$3:$L93,COLUMN()-3,))</f>
        <v>비씨카드</v>
      </c>
      <c r="I96" s="147">
        <f>IF($E96="","",VLOOKUP($E96,$E$3:$L93,COLUMN()-3,))</f>
        <v>0</v>
      </c>
      <c r="J96" s="147">
        <f>IF($E96="","",VLOOKUP($E96,$E$3:$L93,COLUMN()-3,))</f>
        <v>0</v>
      </c>
      <c r="K96" s="147"/>
      <c r="L96" s="147"/>
    </row>
    <row r="97" spans="1:17" ht="18" customHeight="1">
      <c r="A97" s="145">
        <f t="shared" si="3"/>
        <v>95</v>
      </c>
      <c r="B97" s="146"/>
      <c r="C97" s="225"/>
      <c r="D97" s="146"/>
      <c r="E97" s="147" t="s">
        <v>431</v>
      </c>
      <c r="F97" s="147">
        <v>4720</v>
      </c>
      <c r="G97" s="147"/>
      <c r="H97" s="147"/>
      <c r="I97" s="147"/>
      <c r="J97" s="147"/>
      <c r="K97" s="147"/>
      <c r="L97" s="147"/>
    </row>
    <row r="98" spans="1:17" ht="18" customHeight="1">
      <c r="A98" s="145">
        <f t="shared" si="3"/>
        <v>96</v>
      </c>
      <c r="B98" s="146">
        <v>44418</v>
      </c>
      <c r="C98" s="225" t="str">
        <f t="shared" si="2"/>
        <v>2021-08</v>
      </c>
      <c r="D98" s="146">
        <v>44414</v>
      </c>
      <c r="E98" s="147" t="s">
        <v>432</v>
      </c>
      <c r="F98" s="147">
        <v>130860</v>
      </c>
      <c r="G98" s="147" t="str">
        <f>IF($E98="","",VLOOKUP($E98,$E$3:$L97,COLUMN()-3,))</f>
        <v>293-133629-01-001</v>
      </c>
      <c r="H98" s="147" t="str">
        <f>IF($E98="","",VLOOKUP($E98,$E$3:$L97,COLUMN()-3,))</f>
        <v>대우시티프라자</v>
      </c>
      <c r="I98" s="147" t="str">
        <f>IF($E98="","",VLOOKUP($E98,$E$3:$L97,COLUMN()-3,))</f>
        <v>031-921-6507~8</v>
      </c>
      <c r="J98" s="147">
        <f>IF($E98="","",VLOOKUP($E98,$E$3:$L97,COLUMN()-3,))</f>
        <v>0</v>
      </c>
      <c r="K98" s="147"/>
      <c r="L98" s="147"/>
    </row>
    <row r="99" spans="1:17" ht="18" customHeight="1">
      <c r="A99" s="145">
        <f t="shared" si="3"/>
        <v>97</v>
      </c>
      <c r="B99" s="146">
        <v>44449</v>
      </c>
      <c r="C99" s="225" t="str">
        <f t="shared" si="2"/>
        <v>2021-09</v>
      </c>
      <c r="D99" s="146">
        <v>44443</v>
      </c>
      <c r="E99" s="147" t="s">
        <v>436</v>
      </c>
      <c r="F99" s="147">
        <v>124780</v>
      </c>
      <c r="G99" s="147" t="str">
        <f>IF($E99="","",VLOOKUP($E99,$E$3:$L98,COLUMN()-3,))</f>
        <v>293-133629-01-001</v>
      </c>
      <c r="H99" s="147" t="str">
        <f>IF($E99="","",VLOOKUP($E99,$E$3:$L98,COLUMN()-3,))</f>
        <v>대우시티프라자</v>
      </c>
      <c r="I99" s="147" t="str">
        <f>IF($E99="","",VLOOKUP($E99,$E$3:$L98,COLUMN()-3,))</f>
        <v>031-921-6507~8</v>
      </c>
      <c r="J99" s="147">
        <f>IF($E99="","",VLOOKUP($E99,$E$3:$L98,COLUMN()-3,))</f>
        <v>0</v>
      </c>
      <c r="K99" s="147"/>
      <c r="L99" s="147"/>
    </row>
    <row r="100" spans="1:17" ht="18" customHeight="1">
      <c r="A100" s="145">
        <f t="shared" si="3"/>
        <v>98</v>
      </c>
      <c r="B100" s="146">
        <v>44469</v>
      </c>
      <c r="C100" s="225" t="str">
        <f t="shared" si="2"/>
        <v>2021-09</v>
      </c>
      <c r="D100" s="146">
        <v>44443</v>
      </c>
      <c r="E100" s="147" t="s">
        <v>437</v>
      </c>
      <c r="F100" s="147">
        <v>12870</v>
      </c>
      <c r="G100" s="147" t="str">
        <f>IF($E100="","",VLOOKUP($E100,$E$3:$L99,COLUMN()-3,))</f>
        <v>790142-20-498507</v>
      </c>
      <c r="H100" s="147" t="str">
        <f>IF($E100="","",VLOOKUP($E100,$E$3:$L99,COLUMN()-3,))</f>
        <v>고양시 덕약구</v>
      </c>
      <c r="I100" s="147" t="str">
        <f>IF($E100="","",VLOOKUP($E100,$E$3:$L99,COLUMN()-3,))</f>
        <v>1644-4600</v>
      </c>
      <c r="J100" s="147" t="str">
        <f>IF($E100="","",VLOOKUP($E100,$E$3:$L99,COLUMN()-3,))</f>
        <v>41281-1-10-19-3-1909904-0</v>
      </c>
      <c r="K100" s="147"/>
      <c r="L100" s="147"/>
    </row>
    <row r="101" spans="1:17" ht="18" customHeight="1">
      <c r="A101" s="145">
        <f t="shared" si="3"/>
        <v>99</v>
      </c>
      <c r="B101" s="146">
        <v>44469</v>
      </c>
      <c r="C101" s="225" t="str">
        <f t="shared" si="2"/>
        <v>2021-09</v>
      </c>
      <c r="D101" s="146">
        <v>44455</v>
      </c>
      <c r="E101" s="147" t="s">
        <v>438</v>
      </c>
      <c r="F101" s="147">
        <v>22860</v>
      </c>
      <c r="G101" s="147" t="s">
        <v>439</v>
      </c>
      <c r="H101" s="147"/>
      <c r="I101" s="147" t="s">
        <v>440</v>
      </c>
      <c r="J101" s="147"/>
      <c r="K101" s="147"/>
      <c r="L101" s="147"/>
    </row>
    <row r="102" spans="1:17" ht="18" customHeight="1">
      <c r="A102" s="145">
        <f t="shared" si="3"/>
        <v>100</v>
      </c>
      <c r="B102" s="146">
        <v>44481</v>
      </c>
      <c r="C102" s="225" t="str">
        <f t="shared" si="2"/>
        <v>2021-10</v>
      </c>
      <c r="D102" s="146">
        <v>44478</v>
      </c>
      <c r="E102" s="147" t="s">
        <v>441</v>
      </c>
      <c r="F102" s="147">
        <v>115860</v>
      </c>
      <c r="G102" s="147" t="str">
        <f>IF($E102="","",VLOOKUP($E102,$E$3:$L101,COLUMN()-3,))</f>
        <v>293-133629-01-001</v>
      </c>
      <c r="H102" s="147" t="str">
        <f>IF($E102="","",VLOOKUP($E102,$E$3:$L101,COLUMN()-3,))</f>
        <v>대우시티프라자</v>
      </c>
      <c r="I102" s="147" t="str">
        <f>IF($E102="","",VLOOKUP($E102,$E$3:$L101,COLUMN()-3,))</f>
        <v>031-921-6507~8</v>
      </c>
      <c r="J102" s="147">
        <f>IF($E102="","",VLOOKUP($E102,$E$3:$L101,COLUMN()-3,))</f>
        <v>0</v>
      </c>
      <c r="K102" s="147"/>
      <c r="L102" s="147"/>
    </row>
    <row r="103" spans="1:17" ht="18" customHeight="1">
      <c r="A103" s="145">
        <f t="shared" si="3"/>
        <v>101</v>
      </c>
      <c r="B103" s="146">
        <v>44510</v>
      </c>
      <c r="C103" s="225" t="str">
        <f t="shared" si="2"/>
        <v>2021-11</v>
      </c>
      <c r="D103" s="146">
        <v>44507.733778819442</v>
      </c>
      <c r="E103" s="147" t="s">
        <v>442</v>
      </c>
      <c r="F103" s="147">
        <v>110510</v>
      </c>
      <c r="G103" s="147" t="str">
        <f>IF($E103="","",VLOOKUP($E103,$E$3:$L102,COLUMN()-3,))</f>
        <v>293-133629-01-001</v>
      </c>
      <c r="H103" s="147" t="str">
        <f>IF($E103="","",VLOOKUP($E103,$E$3:$L102,COLUMN()-3,))</f>
        <v>대우시티프라자</v>
      </c>
      <c r="I103" s="147" t="str">
        <f>IF($E103="","",VLOOKUP($E103,$E$3:$L102,COLUMN()-3,))</f>
        <v>031-921-6507~8</v>
      </c>
      <c r="J103" s="147">
        <f>IF($E103="","",VLOOKUP($E103,$E$3:$L102,COLUMN()-3,))</f>
        <v>0</v>
      </c>
      <c r="K103" s="147"/>
      <c r="L103" s="147"/>
    </row>
    <row r="104" spans="1:17" ht="18" customHeight="1">
      <c r="A104" s="145">
        <f t="shared" si="3"/>
        <v>102</v>
      </c>
      <c r="B104" s="146">
        <v>44540</v>
      </c>
      <c r="C104" s="225" t="str">
        <f t="shared" si="2"/>
        <v>2021-12</v>
      </c>
      <c r="D104" s="146">
        <v>44535</v>
      </c>
      <c r="E104" s="147" t="s">
        <v>450</v>
      </c>
      <c r="F104" s="147">
        <v>109980</v>
      </c>
      <c r="G104" s="147" t="str">
        <f>IF($E104="","",VLOOKUP($E104,$E$3:$L103,COLUMN()-3,))</f>
        <v>293-133629-01-001</v>
      </c>
      <c r="H104" s="147" t="str">
        <f>IF($E104="","",VLOOKUP($E104,$E$3:$L103,COLUMN()-3,))</f>
        <v>대우시티프라자</v>
      </c>
      <c r="I104" s="147" t="str">
        <f>IF($E104="","",VLOOKUP($E104,$E$3:$L103,COLUMN()-3,))</f>
        <v>031-921-6507~8</v>
      </c>
      <c r="J104" s="147">
        <f>IF($E104="","",VLOOKUP($E104,$E$3:$L103,COLUMN()-3,))</f>
        <v>0</v>
      </c>
      <c r="K104" s="147"/>
      <c r="L104" s="147"/>
    </row>
    <row r="105" spans="1:17" ht="18" customHeight="1">
      <c r="A105" s="145">
        <f t="shared" si="3"/>
        <v>103</v>
      </c>
      <c r="B105" s="146">
        <v>44561</v>
      </c>
      <c r="C105" s="225" t="str">
        <f t="shared" si="2"/>
        <v>2021-12</v>
      </c>
      <c r="D105" s="146">
        <v>44575</v>
      </c>
      <c r="E105" s="147" t="s">
        <v>452</v>
      </c>
      <c r="F105" s="147">
        <v>221726</v>
      </c>
      <c r="G105" s="147" t="str">
        <f>IF($E105="","",VLOOKUP($E105,$E$3:$L104,COLUMN()-3,))</f>
        <v>wetax.go.kr</v>
      </c>
      <c r="H105" s="147" t="str">
        <f>IF($E105="","",VLOOKUP($E105,$E$3:$L104,COLUMN()-3,))</f>
        <v>비씨카드</v>
      </c>
      <c r="I105" s="147">
        <f>IF($E105="","",VLOOKUP($E105,$E$3:$L104,COLUMN()-3,))</f>
        <v>0</v>
      </c>
      <c r="J105" s="147">
        <f>IF($E105="","",VLOOKUP($E105,$E$3:$L104,COLUMN()-3,))</f>
        <v>0</v>
      </c>
      <c r="K105" s="147"/>
      <c r="L105" s="147"/>
      <c r="N105" s="2">
        <v>39050</v>
      </c>
      <c r="O105" s="2"/>
      <c r="P105" s="2">
        <v>9860</v>
      </c>
      <c r="Q105" s="2">
        <f t="shared" ref="Q105:Q143" si="4">SUM(N105:P105)</f>
        <v>48910</v>
      </c>
    </row>
    <row r="106" spans="1:17" ht="18" customHeight="1">
      <c r="A106" s="145">
        <f t="shared" si="3"/>
        <v>104</v>
      </c>
      <c r="B106" s="146">
        <v>44227</v>
      </c>
      <c r="C106" s="225" t="str">
        <f t="shared" si="2"/>
        <v>2021-01</v>
      </c>
      <c r="D106" s="146">
        <v>44560</v>
      </c>
      <c r="E106" s="147" t="s">
        <v>453</v>
      </c>
      <c r="F106" s="147">
        <v>10000</v>
      </c>
      <c r="G106" s="147" t="s">
        <v>454</v>
      </c>
      <c r="H106" s="147" t="s">
        <v>455</v>
      </c>
      <c r="I106" s="147" t="s">
        <v>456</v>
      </c>
      <c r="J106" s="147" t="s">
        <v>457</v>
      </c>
      <c r="K106" s="147"/>
      <c r="L106" s="147"/>
      <c r="N106" s="2">
        <v>38230</v>
      </c>
      <c r="O106" s="2"/>
      <c r="P106" s="2">
        <v>7420</v>
      </c>
      <c r="Q106" s="2">
        <f t="shared" si="4"/>
        <v>45650</v>
      </c>
    </row>
    <row r="107" spans="1:17" ht="18" customHeight="1">
      <c r="A107" s="145">
        <f t="shared" si="3"/>
        <v>105</v>
      </c>
      <c r="B107" s="146">
        <v>44571</v>
      </c>
      <c r="C107" s="225" t="str">
        <f t="shared" si="2"/>
        <v>2022-01</v>
      </c>
      <c r="D107" s="146">
        <v>44571</v>
      </c>
      <c r="E107" s="147" t="s">
        <v>458</v>
      </c>
      <c r="F107" s="147">
        <v>133160</v>
      </c>
      <c r="G107" s="147" t="str">
        <f>IF($E107="","",VLOOKUP($E107,$E$3:$L106,COLUMN()-3,))</f>
        <v>293-133629-01-001</v>
      </c>
      <c r="H107" s="147" t="str">
        <f>IF($E107="","",VLOOKUP($E107,$E$3:$L106,COLUMN()-3,))</f>
        <v>대우시티프라자</v>
      </c>
      <c r="I107" s="147" t="str">
        <f>IF($E107="","",VLOOKUP($E107,$E$3:$L106,COLUMN()-3,))</f>
        <v>031-921-6507~8</v>
      </c>
      <c r="J107" s="147">
        <f>IF($E107="","",VLOOKUP($E107,$E$3:$L106,COLUMN()-3,))</f>
        <v>0</v>
      </c>
      <c r="K107" s="147"/>
      <c r="L107" s="147"/>
      <c r="N107" s="2">
        <v>54470</v>
      </c>
      <c r="O107" s="2">
        <v>6260</v>
      </c>
      <c r="P107" s="2">
        <v>7400</v>
      </c>
      <c r="Q107" s="2">
        <f t="shared" si="4"/>
        <v>68130</v>
      </c>
    </row>
    <row r="108" spans="1:17" ht="18" customHeight="1">
      <c r="A108" s="145">
        <f t="shared" si="3"/>
        <v>106</v>
      </c>
      <c r="B108" s="146">
        <v>44602</v>
      </c>
      <c r="C108" s="225" t="str">
        <f t="shared" si="2"/>
        <v>2022-02</v>
      </c>
      <c r="D108" s="146">
        <v>44597</v>
      </c>
      <c r="E108" s="147" t="s">
        <v>461</v>
      </c>
      <c r="F108" s="147">
        <v>181640</v>
      </c>
      <c r="G108" s="147" t="str">
        <f>IF($E108="","",VLOOKUP($E108,$E$3:$L107,COLUMN()-3,))</f>
        <v>293-133629-01-001</v>
      </c>
      <c r="H108" s="147" t="str">
        <f>IF($E108="","",VLOOKUP($E108,$E$3:$L107,COLUMN()-3,))</f>
        <v>대우시티프라자</v>
      </c>
      <c r="I108" s="147" t="str">
        <f>IF($E108="","",VLOOKUP($E108,$E$3:$L107,COLUMN()-3,))</f>
        <v>031-921-6507~8</v>
      </c>
      <c r="J108" s="147">
        <f>IF($E108="","",VLOOKUP($E108,$E$3:$L107,COLUMN()-3,))</f>
        <v>0</v>
      </c>
      <c r="K108" s="147"/>
      <c r="L108" s="147"/>
      <c r="N108" s="2">
        <v>97580</v>
      </c>
      <c r="O108" s="2">
        <v>6680</v>
      </c>
      <c r="P108" s="2">
        <v>9880</v>
      </c>
      <c r="Q108" s="2">
        <f t="shared" si="4"/>
        <v>114140</v>
      </c>
    </row>
    <row r="109" spans="1:17" ht="18" customHeight="1">
      <c r="A109" s="145">
        <f t="shared" si="3"/>
        <v>107</v>
      </c>
      <c r="B109" s="146">
        <v>44630</v>
      </c>
      <c r="C109" s="225" t="str">
        <f t="shared" si="2"/>
        <v>2022-03</v>
      </c>
      <c r="D109" s="146">
        <v>44630</v>
      </c>
      <c r="E109" s="147" t="s">
        <v>468</v>
      </c>
      <c r="F109" s="147">
        <v>197120</v>
      </c>
      <c r="G109" s="147" t="str">
        <f>IF($E109="","",VLOOKUP($E109,$E$3:$L108,COLUMN()-3,))</f>
        <v>293-133629-01-001</v>
      </c>
      <c r="H109" s="147" t="str">
        <f>IF($E109="","",VLOOKUP($E109,$E$3:$L108,COLUMN()-3,))</f>
        <v>대우시티프라자</v>
      </c>
      <c r="I109" s="147" t="str">
        <f>IF($E109="","",VLOOKUP($E109,$E$3:$L108,COLUMN()-3,))</f>
        <v>031-921-6507~8</v>
      </c>
      <c r="J109" s="147">
        <f>IF($E109="","",VLOOKUP($E109,$E$3:$L108,COLUMN()-3,))</f>
        <v>0</v>
      </c>
      <c r="K109" s="147"/>
      <c r="L109" s="147"/>
      <c r="N109" s="2">
        <v>102200</v>
      </c>
      <c r="O109" s="2">
        <v>14300</v>
      </c>
      <c r="P109" s="2">
        <v>9850</v>
      </c>
      <c r="Q109" s="2">
        <f t="shared" si="4"/>
        <v>126350</v>
      </c>
    </row>
    <row r="110" spans="1:17" ht="18" customHeight="1">
      <c r="A110" s="145">
        <f t="shared" si="3"/>
        <v>108</v>
      </c>
      <c r="B110" s="146">
        <v>44662</v>
      </c>
      <c r="C110" s="225" t="str">
        <f t="shared" si="2"/>
        <v>2022-04</v>
      </c>
      <c r="D110" s="146">
        <v>44661</v>
      </c>
      <c r="E110" s="147" t="s">
        <v>475</v>
      </c>
      <c r="F110" s="147">
        <v>161460</v>
      </c>
      <c r="G110" s="147" t="str">
        <f>IF($E110="","",VLOOKUP($E110,$E$3:$L109,COLUMN()-3,))</f>
        <v>293-133629-01-001</v>
      </c>
      <c r="H110" s="147" t="str">
        <f>IF($E110="","",VLOOKUP($E110,$E$3:$L109,COLUMN()-3,))</f>
        <v>대우시티프라자</v>
      </c>
      <c r="I110" s="147" t="str">
        <f>IF($E110="","",VLOOKUP($E110,$E$3:$L109,COLUMN()-3,))</f>
        <v>031-921-6507~8</v>
      </c>
      <c r="J110" s="147">
        <f>IF($E110="","",VLOOKUP($E110,$E$3:$L109,COLUMN()-3,))</f>
        <v>0</v>
      </c>
      <c r="K110" s="147"/>
      <c r="L110" s="147"/>
      <c r="N110" s="2">
        <v>73300</v>
      </c>
      <c r="O110" s="2">
        <v>13450</v>
      </c>
      <c r="P110" s="2">
        <v>9840</v>
      </c>
      <c r="Q110" s="2">
        <f t="shared" si="4"/>
        <v>96590</v>
      </c>
    </row>
    <row r="111" spans="1:17" ht="18" customHeight="1">
      <c r="A111" s="145">
        <f t="shared" si="3"/>
        <v>109</v>
      </c>
      <c r="B111" s="146">
        <v>44691</v>
      </c>
      <c r="C111" s="225" t="str">
        <f t="shared" si="2"/>
        <v>2022-05</v>
      </c>
      <c r="D111" s="146">
        <v>44688</v>
      </c>
      <c r="E111" s="147" t="s">
        <v>476</v>
      </c>
      <c r="F111" s="147">
        <v>124550</v>
      </c>
      <c r="G111" s="147" t="str">
        <f>IF($E111="","",VLOOKUP($E111,$E$3:$L110,COLUMN()-3,))</f>
        <v>293-133629-01-001</v>
      </c>
      <c r="H111" s="147" t="str">
        <f>IF($E111="","",VLOOKUP($E111,$E$3:$L110,COLUMN()-3,))</f>
        <v>대우시티프라자</v>
      </c>
      <c r="I111" s="147" t="str">
        <f>IF($E111="","",VLOOKUP($E111,$E$3:$L110,COLUMN()-3,))</f>
        <v>031-921-6507~8</v>
      </c>
      <c r="J111" s="147">
        <f>IF($E111="","",VLOOKUP($E111,$E$3:$L110,COLUMN()-3,))</f>
        <v>0</v>
      </c>
      <c r="K111" s="147"/>
      <c r="L111" s="147"/>
      <c r="N111" s="2">
        <v>51530</v>
      </c>
      <c r="O111" s="2">
        <v>6580</v>
      </c>
      <c r="P111" s="2">
        <v>7390</v>
      </c>
      <c r="Q111" s="2">
        <f t="shared" si="4"/>
        <v>65500</v>
      </c>
    </row>
    <row r="112" spans="1:17" ht="18" customHeight="1">
      <c r="A112" s="145">
        <f t="shared" si="3"/>
        <v>110</v>
      </c>
      <c r="B112" s="146">
        <v>44722</v>
      </c>
      <c r="C112" s="225" t="str">
        <f t="shared" si="2"/>
        <v>2022-06</v>
      </c>
      <c r="D112" s="146">
        <v>44718</v>
      </c>
      <c r="E112" s="147" t="s">
        <v>480</v>
      </c>
      <c r="F112" s="147">
        <v>108900</v>
      </c>
      <c r="G112" s="147" t="str">
        <f>IF($E112="","",VLOOKUP($E112,$E$3:$L111,COLUMN()-3,))</f>
        <v>293-133629-01-001</v>
      </c>
      <c r="H112" s="147" t="str">
        <f>IF($E112="","",VLOOKUP($E112,$E$3:$L111,COLUMN()-3,))</f>
        <v>대우시티프라자</v>
      </c>
      <c r="I112" s="147" t="str">
        <f>IF($E112="","",VLOOKUP($E112,$E$3:$L111,COLUMN()-3,))</f>
        <v>031-921-6507~8</v>
      </c>
      <c r="J112" s="147">
        <f>IF($E112="","",VLOOKUP($E112,$E$3:$L111,COLUMN()-3,))</f>
        <v>0</v>
      </c>
      <c r="K112" s="147"/>
      <c r="L112" s="147"/>
      <c r="N112" s="2">
        <v>38440</v>
      </c>
      <c r="O112" s="2">
        <v>6330</v>
      </c>
      <c r="P112" s="2">
        <v>7360</v>
      </c>
      <c r="Q112" s="2">
        <f t="shared" si="4"/>
        <v>52130</v>
      </c>
    </row>
    <row r="113" spans="1:17" ht="18" customHeight="1">
      <c r="A113" s="145">
        <f t="shared" si="3"/>
        <v>111</v>
      </c>
      <c r="B113" s="146">
        <v>44753</v>
      </c>
      <c r="C113" s="225" t="str">
        <f t="shared" si="2"/>
        <v>2022-07</v>
      </c>
      <c r="D113" s="146">
        <v>44752</v>
      </c>
      <c r="E113" s="147" t="s">
        <v>481</v>
      </c>
      <c r="F113" s="147">
        <v>118580</v>
      </c>
      <c r="G113" s="147" t="str">
        <f>IF($E113="","",VLOOKUP($E113,$E$3:$L112,COLUMN()-3,))</f>
        <v>293-133629-01-001</v>
      </c>
      <c r="H113" s="147" t="str">
        <f>IF($E113="","",VLOOKUP($E113,$E$3:$L112,COLUMN()-3,))</f>
        <v>대우시티프라자</v>
      </c>
      <c r="I113" s="147" t="str">
        <f>IF($E113="","",VLOOKUP($E113,$E$3:$L112,COLUMN()-3,))</f>
        <v>031-921-6507~8</v>
      </c>
      <c r="J113" s="147">
        <f>IF($E113="","",VLOOKUP($E113,$E$3:$L112,COLUMN()-3,))</f>
        <v>0</v>
      </c>
      <c r="K113" s="147"/>
      <c r="L113" s="147"/>
      <c r="N113" s="2">
        <v>42900</v>
      </c>
      <c r="O113" s="2">
        <v>5780</v>
      </c>
      <c r="P113" s="2">
        <v>9920</v>
      </c>
      <c r="Q113" s="2">
        <f t="shared" si="4"/>
        <v>58600</v>
      </c>
    </row>
    <row r="114" spans="1:17" ht="18" customHeight="1">
      <c r="A114" s="145">
        <f t="shared" si="3"/>
        <v>112</v>
      </c>
      <c r="B114" s="146">
        <v>44783</v>
      </c>
      <c r="C114" s="225" t="str">
        <f t="shared" si="2"/>
        <v>2022-08</v>
      </c>
      <c r="D114" s="146">
        <v>44782</v>
      </c>
      <c r="E114" s="147" t="s">
        <v>483</v>
      </c>
      <c r="F114" s="147">
        <v>121240</v>
      </c>
      <c r="G114" s="147" t="str">
        <f>IF($E114="","",VLOOKUP($E114,$E$3:$L113,COLUMN()-3,))</f>
        <v>293-133629-01-001</v>
      </c>
      <c r="H114" s="147" t="str">
        <f>IF($E114="","",VLOOKUP($E114,$E$3:$L113,COLUMN()-3,))</f>
        <v>대우시티프라자</v>
      </c>
      <c r="I114" s="147" t="str">
        <f>IF($E114="","",VLOOKUP($E114,$E$3:$L113,COLUMN()-3,))</f>
        <v>031-921-6507~8</v>
      </c>
      <c r="J114" s="147">
        <f>IF($E114="","",VLOOKUP($E114,$E$3:$L113,COLUMN()-3,))</f>
        <v>0</v>
      </c>
      <c r="K114" s="147"/>
      <c r="L114" s="147"/>
      <c r="N114" s="2"/>
      <c r="O114" s="2"/>
      <c r="P114" s="2"/>
      <c r="Q114" s="2"/>
    </row>
    <row r="115" spans="1:17" ht="18" customHeight="1">
      <c r="A115" s="145">
        <f t="shared" si="3"/>
        <v>113</v>
      </c>
      <c r="B115" s="146">
        <v>44817</v>
      </c>
      <c r="C115" s="225" t="str">
        <f t="shared" si="2"/>
        <v>2022-09</v>
      </c>
      <c r="D115" s="146">
        <v>44811</v>
      </c>
      <c r="E115" s="147" t="s">
        <v>485</v>
      </c>
      <c r="F115" s="147">
        <v>133010</v>
      </c>
      <c r="G115" s="147" t="str">
        <f>IF($E115="","",VLOOKUP($E115,$E$3:$L114,COLUMN()-3,))</f>
        <v>293-133629-01-001</v>
      </c>
      <c r="H115" s="147" t="str">
        <f>IF($E115="","",VLOOKUP($E115,$E$3:$L114,COLUMN()-3,))</f>
        <v>대우시티프라자</v>
      </c>
      <c r="I115" s="147" t="str">
        <f>IF($E115="","",VLOOKUP($E115,$E$3:$L114,COLUMN()-3,))</f>
        <v>031-921-6507~8</v>
      </c>
      <c r="J115" s="147">
        <f>IF($E115="","",VLOOKUP($E115,$E$3:$L114,COLUMN()-3,))</f>
        <v>0</v>
      </c>
      <c r="K115" s="147"/>
      <c r="L115" s="147"/>
      <c r="N115" s="2">
        <v>53620</v>
      </c>
      <c r="O115" s="2"/>
      <c r="P115" s="2">
        <v>12520</v>
      </c>
      <c r="Q115" s="2">
        <f t="shared" ref="Q115:Q120" si="5">SUM(N115:P115)</f>
        <v>66140</v>
      </c>
    </row>
    <row r="116" spans="1:17" ht="18" customHeight="1">
      <c r="A116" s="145">
        <f t="shared" si="3"/>
        <v>114</v>
      </c>
      <c r="B116" s="146">
        <v>44845</v>
      </c>
      <c r="C116" s="225" t="str">
        <f t="shared" si="2"/>
        <v>2022-10</v>
      </c>
      <c r="D116" s="146">
        <v>44845</v>
      </c>
      <c r="E116" s="147" t="s">
        <v>485</v>
      </c>
      <c r="F116" s="147">
        <v>115820</v>
      </c>
      <c r="G116" s="147" t="str">
        <f>IF($E116="","",VLOOKUP($E116,$E$3:$L115,COLUMN()-3,))</f>
        <v>293-133629-01-001</v>
      </c>
      <c r="H116" s="147" t="str">
        <f>IF($E116="","",VLOOKUP($E116,$E$3:$L115,COLUMN()-3,))</f>
        <v>대우시티프라자</v>
      </c>
      <c r="I116" s="147" t="str">
        <f>IF($E116="","",VLOOKUP($E116,$E$3:$L115,COLUMN()-3,))</f>
        <v>031-921-6507~8</v>
      </c>
      <c r="J116" s="147">
        <f>IF($E116="","",VLOOKUP($E116,$E$3:$L115,COLUMN()-3,))</f>
        <v>0</v>
      </c>
      <c r="K116" s="147"/>
      <c r="L116" s="147"/>
      <c r="N116" s="2">
        <v>47220</v>
      </c>
      <c r="O116" s="2"/>
      <c r="P116" s="2">
        <v>7500</v>
      </c>
      <c r="Q116" s="2">
        <f t="shared" si="5"/>
        <v>54720</v>
      </c>
    </row>
    <row r="117" spans="1:17" ht="18" customHeight="1">
      <c r="A117" s="145">
        <f t="shared" si="3"/>
        <v>115</v>
      </c>
      <c r="B117" s="146">
        <v>44875</v>
      </c>
      <c r="C117" s="225" t="str">
        <f t="shared" si="2"/>
        <v>2022-11</v>
      </c>
      <c r="D117" s="146">
        <v>44875</v>
      </c>
      <c r="E117" s="147" t="s">
        <v>486</v>
      </c>
      <c r="F117" s="147">
        <v>112570</v>
      </c>
      <c r="G117" s="147" t="str">
        <f>IF($E117="","",VLOOKUP($E117,$E$3:$L116,COLUMN()-3,))</f>
        <v>293-133629-01-001</v>
      </c>
      <c r="H117" s="147" t="str">
        <f>IF($E117="","",VLOOKUP($E117,$E$3:$L116,COLUMN()-3,))</f>
        <v>대우시티프라자</v>
      </c>
      <c r="I117" s="147" t="str">
        <f>IF($E117="","",VLOOKUP($E117,$E$3:$L116,COLUMN()-3,))</f>
        <v>031-921-6507~8</v>
      </c>
      <c r="J117" s="147">
        <f>IF($E117="","",VLOOKUP($E117,$E$3:$L116,COLUMN()-3,))</f>
        <v>0</v>
      </c>
      <c r="K117" s="147"/>
      <c r="L117" s="147"/>
      <c r="N117" s="2">
        <v>42520</v>
      </c>
      <c r="O117" s="2"/>
      <c r="P117" s="2">
        <v>7420</v>
      </c>
      <c r="Q117" s="2">
        <f t="shared" si="5"/>
        <v>49940</v>
      </c>
    </row>
    <row r="118" spans="1:17" ht="18" customHeight="1">
      <c r="A118" s="145">
        <f t="shared" si="3"/>
        <v>116</v>
      </c>
      <c r="B118" s="146">
        <v>44907</v>
      </c>
      <c r="C118" s="225" t="str">
        <f t="shared" si="2"/>
        <v>2022-12</v>
      </c>
      <c r="D118" s="146">
        <v>44896</v>
      </c>
      <c r="E118" s="147" t="s">
        <v>487</v>
      </c>
      <c r="F118" s="147">
        <v>118890</v>
      </c>
      <c r="G118" s="147" t="str">
        <f>IF($E118="","",VLOOKUP($E118,$E$3:$L117,COLUMN()-3,))</f>
        <v>293-133629-01-001</v>
      </c>
      <c r="H118" s="147" t="str">
        <f>IF($E118="","",VLOOKUP($E118,$E$3:$L117,COLUMN()-3,))</f>
        <v>대우시티프라자</v>
      </c>
      <c r="I118" s="147" t="str">
        <f>IF($E118="","",VLOOKUP($E118,$E$3:$L117,COLUMN()-3,))</f>
        <v>031-921-6507~8</v>
      </c>
      <c r="J118" s="147">
        <f>IF($E118="","",VLOOKUP($E118,$E$3:$L117,COLUMN()-3,))</f>
        <v>0</v>
      </c>
      <c r="K118" s="147"/>
      <c r="L118" s="147"/>
      <c r="N118" s="2">
        <v>43210</v>
      </c>
      <c r="O118" s="2"/>
      <c r="P118" s="2">
        <v>9980</v>
      </c>
      <c r="Q118" s="2">
        <f t="shared" si="5"/>
        <v>53190</v>
      </c>
    </row>
    <row r="119" spans="1:17" ht="18" customHeight="1">
      <c r="A119" s="145">
        <f t="shared" si="3"/>
        <v>117</v>
      </c>
      <c r="B119" s="146">
        <v>44936</v>
      </c>
      <c r="C119" s="225" t="str">
        <f t="shared" si="2"/>
        <v>2023-01</v>
      </c>
      <c r="D119" s="146">
        <v>44930</v>
      </c>
      <c r="E119" s="147" t="s">
        <v>497</v>
      </c>
      <c r="F119" s="147">
        <v>165360</v>
      </c>
      <c r="G119" s="147" t="str">
        <f>IF($E119="","",VLOOKUP($E119,$E$3:$L118,COLUMN()-3,))</f>
        <v>293-133629-01-001</v>
      </c>
      <c r="H119" s="147" t="str">
        <f>IF($E119="","",VLOOKUP($E119,$E$3:$L118,COLUMN()-3,))</f>
        <v>대우시티프라자</v>
      </c>
      <c r="I119" s="147" t="str">
        <f>IF($E119="","",VLOOKUP($E119,$E$3:$L118,COLUMN()-3,))</f>
        <v>031-921-6507~8</v>
      </c>
      <c r="J119" s="147">
        <f>IF($E119="","",VLOOKUP($E119,$E$3:$L118,COLUMN()-3,))</f>
        <v>0</v>
      </c>
      <c r="K119" s="147"/>
      <c r="L119" s="147"/>
      <c r="N119" s="2">
        <v>81350</v>
      </c>
      <c r="O119" s="2">
        <v>7800</v>
      </c>
      <c r="P119" s="2">
        <v>7420</v>
      </c>
      <c r="Q119" s="2">
        <f t="shared" si="5"/>
        <v>96570</v>
      </c>
    </row>
    <row r="120" spans="1:17" ht="18" customHeight="1">
      <c r="A120" s="145">
        <f t="shared" si="3"/>
        <v>118</v>
      </c>
      <c r="B120" s="146">
        <v>44967</v>
      </c>
      <c r="C120" s="225" t="str">
        <f t="shared" si="2"/>
        <v>2023-02</v>
      </c>
      <c r="D120" s="146">
        <v>44934</v>
      </c>
      <c r="E120" s="147" t="s">
        <v>516</v>
      </c>
      <c r="F120" s="147">
        <v>205100</v>
      </c>
      <c r="G120" s="147" t="str">
        <f>IF($E120="","",VLOOKUP($E120,$E$3:$L119,COLUMN()-3,))</f>
        <v>293-133629-01-001</v>
      </c>
      <c r="H120" s="147" t="str">
        <f>IF($E120="","",VLOOKUP($E120,$E$3:$L119,COLUMN()-3,))</f>
        <v>대우시티프라자</v>
      </c>
      <c r="I120" s="147" t="str">
        <f>IF($E120="","",VLOOKUP($E120,$E$3:$L119,COLUMN()-3,))</f>
        <v>031-921-6507~8</v>
      </c>
      <c r="J120" s="147">
        <f>IF($E120="","",VLOOKUP($E120,$E$3:$L119,COLUMN()-3,))</f>
        <v>0</v>
      </c>
      <c r="K120" s="147"/>
      <c r="L120" s="147"/>
      <c r="N120" s="2">
        <v>115060</v>
      </c>
      <c r="O120" s="2">
        <v>9190</v>
      </c>
      <c r="P120" s="2">
        <v>7500</v>
      </c>
      <c r="Q120" s="2">
        <f t="shared" si="5"/>
        <v>131750</v>
      </c>
    </row>
    <row r="121" spans="1:17" ht="18" customHeight="1">
      <c r="A121" s="145">
        <f t="shared" si="3"/>
        <v>119</v>
      </c>
      <c r="B121" s="146">
        <v>44995</v>
      </c>
      <c r="C121" s="225" t="str">
        <f t="shared" si="2"/>
        <v>2023-03</v>
      </c>
      <c r="D121" s="146">
        <v>44993</v>
      </c>
      <c r="E121" s="147" t="s">
        <v>519</v>
      </c>
      <c r="F121" s="147">
        <v>224740</v>
      </c>
      <c r="G121" s="147" t="str">
        <f>IF($E121="","",VLOOKUP($E121,$E$3:$L120,COLUMN()-3,))</f>
        <v>293-133629-01-001</v>
      </c>
      <c r="H121" s="147" t="str">
        <f>IF($E121="","",VLOOKUP($E121,$E$3:$L120,COLUMN()-3,))</f>
        <v>대우시티프라자</v>
      </c>
      <c r="I121" s="147" t="str">
        <f>IF($E121="","",VLOOKUP($E121,$E$3:$L120,COLUMN()-3,))</f>
        <v>031-921-6507~8</v>
      </c>
      <c r="J121" s="147">
        <f>IF($E121="","",VLOOKUP($E121,$E$3:$L120,COLUMN()-3,))</f>
        <v>0</v>
      </c>
      <c r="K121" s="147"/>
      <c r="L121" s="147"/>
      <c r="N121" s="2">
        <v>122950</v>
      </c>
      <c r="O121" s="2">
        <v>17990</v>
      </c>
      <c r="P121" s="2">
        <v>9970</v>
      </c>
      <c r="Q121" s="2">
        <f t="shared" ref="Q121" si="6">SUM(N121:P121)</f>
        <v>150910</v>
      </c>
    </row>
    <row r="122" spans="1:17" ht="18" customHeight="1">
      <c r="A122" s="145">
        <f t="shared" si="3"/>
        <v>120</v>
      </c>
      <c r="B122" s="146">
        <v>45026</v>
      </c>
      <c r="C122" s="225" t="str">
        <f t="shared" si="2"/>
        <v>2023-04</v>
      </c>
      <c r="D122" s="146">
        <v>45025</v>
      </c>
      <c r="E122" s="147" t="s">
        <v>521</v>
      </c>
      <c r="F122" s="147">
        <v>168760</v>
      </c>
      <c r="G122" s="147" t="str">
        <f>IF($E122="","",VLOOKUP($E122,$E$3:$L121,COLUMN()-3,))</f>
        <v>293-133629-01-001</v>
      </c>
      <c r="H122" s="147" t="str">
        <f>IF($E122="","",VLOOKUP($E122,$E$3:$L121,COLUMN()-3,))</f>
        <v>대우시티프라자</v>
      </c>
      <c r="I122" s="147" t="str">
        <f>IF($E122="","",VLOOKUP($E122,$E$3:$L121,COLUMN()-3,))</f>
        <v>031-921-6507~8</v>
      </c>
      <c r="J122" s="147">
        <f>IF($E122="","",VLOOKUP($E122,$E$3:$L121,COLUMN()-3,))</f>
        <v>0</v>
      </c>
      <c r="K122" s="147"/>
      <c r="L122" s="147"/>
      <c r="N122" s="2">
        <v>81380</v>
      </c>
      <c r="O122" s="2">
        <v>9590</v>
      </c>
      <c r="P122" s="2">
        <v>7380</v>
      </c>
      <c r="Q122" s="2">
        <f t="shared" ref="Q122:Q131" si="7">SUM(N122:P122)</f>
        <v>98350</v>
      </c>
    </row>
    <row r="123" spans="1:17" ht="18" customHeight="1">
      <c r="A123" s="145">
        <f t="shared" si="3"/>
        <v>121</v>
      </c>
      <c r="B123" s="146">
        <v>45056</v>
      </c>
      <c r="C123" s="225" t="str">
        <f t="shared" si="2"/>
        <v>2023-05</v>
      </c>
      <c r="D123" s="146">
        <v>45052</v>
      </c>
      <c r="E123" s="147" t="s">
        <v>525</v>
      </c>
      <c r="F123" s="147">
        <v>134930</v>
      </c>
      <c r="G123" s="147" t="str">
        <f>IF($E123="","",VLOOKUP($E123,$E$3:$L122,COLUMN()-3,))</f>
        <v>293-133629-01-001</v>
      </c>
      <c r="H123" s="147" t="str">
        <f>IF($E123="","",VLOOKUP($E123,$E$3:$L122,COLUMN()-3,))</f>
        <v>대우시티프라자</v>
      </c>
      <c r="I123" s="147" t="str">
        <f>IF($E123="","",VLOOKUP($E123,$E$3:$L122,COLUMN()-3,))</f>
        <v>031-921-6507~8</v>
      </c>
      <c r="J123" s="147">
        <f>IF($E123="","",VLOOKUP($E123,$E$3:$L122,COLUMN()-3,))</f>
        <v>0</v>
      </c>
      <c r="K123" s="147"/>
      <c r="L123" s="147"/>
      <c r="N123" s="2">
        <v>49970</v>
      </c>
      <c r="O123" s="2">
        <v>9390</v>
      </c>
      <c r="P123" s="2">
        <v>7430</v>
      </c>
      <c r="Q123" s="2">
        <f t="shared" si="7"/>
        <v>66790</v>
      </c>
    </row>
    <row r="124" spans="1:17" ht="18" customHeight="1">
      <c r="A124" s="145">
        <f t="shared" si="3"/>
        <v>122</v>
      </c>
      <c r="B124" s="146">
        <v>45089</v>
      </c>
      <c r="C124" s="225" t="str">
        <f t="shared" si="2"/>
        <v>2023-06</v>
      </c>
      <c r="D124" s="146">
        <v>45088</v>
      </c>
      <c r="E124" s="147" t="str">
        <f>IF(ISBLANK(D124),"",E123)</f>
        <v>관리비</v>
      </c>
      <c r="F124" s="147">
        <v>123700</v>
      </c>
      <c r="G124" s="147" t="str">
        <f>IF($E124="","",VLOOKUP($E124,$E$3:$L123,COLUMN()-3,))</f>
        <v>293-133629-01-001</v>
      </c>
      <c r="H124" s="147" t="str">
        <f>IF($E124="","",VLOOKUP($E124,$E$3:$L123,COLUMN()-3,))</f>
        <v>대우시티프라자</v>
      </c>
      <c r="I124" s="147" t="str">
        <f>IF($E124="","",VLOOKUP($E124,$E$3:$L123,COLUMN()-3,))</f>
        <v>031-921-6507~8</v>
      </c>
      <c r="J124" s="147">
        <f>IF($E124="","",VLOOKUP($E124,$E$3:$L123,COLUMN()-3,))</f>
        <v>0</v>
      </c>
      <c r="K124" s="147"/>
      <c r="L124" s="147"/>
      <c r="N124" s="2">
        <v>40290</v>
      </c>
      <c r="O124" s="2">
        <v>8410</v>
      </c>
      <c r="P124" s="2">
        <v>4930</v>
      </c>
      <c r="Q124" s="2">
        <f t="shared" si="7"/>
        <v>53630</v>
      </c>
    </row>
    <row r="125" spans="1:17" ht="18" customHeight="1">
      <c r="A125" s="145">
        <f t="shared" si="3"/>
        <v>123</v>
      </c>
      <c r="B125" s="146">
        <v>45117</v>
      </c>
      <c r="C125" s="225" t="str">
        <f t="shared" si="2"/>
        <v>2023-07</v>
      </c>
      <c r="D125" s="146">
        <v>45115</v>
      </c>
      <c r="E125" s="147" t="s">
        <v>527</v>
      </c>
      <c r="F125" s="147">
        <v>140740</v>
      </c>
      <c r="G125" s="147" t="str">
        <f>IF($E125="","",VLOOKUP($E125,$E$3:$L124,COLUMN()-3,))</f>
        <v>293-133629-01-001</v>
      </c>
      <c r="H125" s="147" t="str">
        <f>IF($E125="","",VLOOKUP($E125,$E$3:$L124,COLUMN()-3,))</f>
        <v>대우시티프라자</v>
      </c>
      <c r="I125" s="147" t="str">
        <f>IF($E125="","",VLOOKUP($E125,$E$3:$L124,COLUMN()-3,))</f>
        <v>031-921-6507~8</v>
      </c>
      <c r="J125" s="147">
        <f>IF($E125="","",VLOOKUP($E125,$E$3:$L124,COLUMN()-3,))</f>
        <v>0</v>
      </c>
      <c r="K125" s="147"/>
      <c r="L125" s="147"/>
      <c r="N125" s="2">
        <v>49520</v>
      </c>
      <c r="O125" s="2">
        <v>7450</v>
      </c>
      <c r="P125" s="2">
        <v>12430</v>
      </c>
      <c r="Q125" s="2">
        <f t="shared" si="7"/>
        <v>69400</v>
      </c>
    </row>
    <row r="126" spans="1:17" ht="18" customHeight="1">
      <c r="A126" s="145">
        <f t="shared" si="3"/>
        <v>124</v>
      </c>
      <c r="B126" s="146">
        <v>45148</v>
      </c>
      <c r="C126" s="225" t="str">
        <f t="shared" si="2"/>
        <v>2023-08</v>
      </c>
      <c r="D126" s="146">
        <v>45143</v>
      </c>
      <c r="E126" s="147" t="s">
        <v>529</v>
      </c>
      <c r="F126" s="147">
        <v>137700</v>
      </c>
      <c r="G126" s="147" t="str">
        <f>IF($E126="","",VLOOKUP($E126,$E$3:$L125,COLUMN()-3,))</f>
        <v>293-133629-01-001</v>
      </c>
      <c r="H126" s="147" t="str">
        <f>IF($E126="","",VLOOKUP($E126,$E$3:$L125,COLUMN()-3,))</f>
        <v>대우시티프라자</v>
      </c>
      <c r="I126" s="147" t="str">
        <f>IF($E126="","",VLOOKUP($E126,$E$3:$L125,COLUMN()-3,))</f>
        <v>031-921-6507~8</v>
      </c>
      <c r="J126" s="147">
        <f>IF($E126="","",VLOOKUP($E126,$E$3:$L125,COLUMN()-3,))</f>
        <v>0</v>
      </c>
      <c r="K126" s="147"/>
      <c r="L126" s="147"/>
      <c r="N126" s="2">
        <v>58470</v>
      </c>
      <c r="O126" s="2"/>
      <c r="P126" s="2">
        <v>9940</v>
      </c>
      <c r="Q126" s="2">
        <f t="shared" si="7"/>
        <v>68410</v>
      </c>
    </row>
    <row r="127" spans="1:17" ht="18" customHeight="1">
      <c r="A127" s="145">
        <f t="shared" si="3"/>
        <v>125</v>
      </c>
      <c r="B127" s="146"/>
      <c r="C127" s="225" t="str">
        <f t="shared" si="2"/>
        <v>1900-01</v>
      </c>
      <c r="D127" s="146"/>
      <c r="E127" s="147"/>
      <c r="F127" s="147"/>
      <c r="G127" s="147" t="str">
        <f>IF($E127="","",VLOOKUP($E127,$E$3:$L126,COLUMN()-3,))</f>
        <v/>
      </c>
      <c r="H127" s="147" t="str">
        <f>IF($E127="","",VLOOKUP($E127,$E$3:$L126,COLUMN()-3,))</f>
        <v/>
      </c>
      <c r="I127" s="147" t="str">
        <f>IF($E127="","",VLOOKUP($E127,$E$3:$L126,COLUMN()-3,))</f>
        <v/>
      </c>
      <c r="J127" s="147" t="str">
        <f>IF($E127="","",VLOOKUP($E127,$E$3:$L126,COLUMN()-3,))</f>
        <v/>
      </c>
      <c r="K127" s="147" t="str">
        <f>IF($E127="","",VLOOKUP($E127,$E$3:$L126,COLUMN()-3,))</f>
        <v/>
      </c>
      <c r="L127" s="147" t="str">
        <f>IF($E127="","",VLOOKUP($E127,$E$3:$L126,COLUMN()-3,))</f>
        <v/>
      </c>
      <c r="N127" s="2"/>
      <c r="O127" s="2"/>
      <c r="P127" s="2"/>
      <c r="Q127" s="2">
        <f t="shared" si="7"/>
        <v>0</v>
      </c>
    </row>
    <row r="128" spans="1:17" ht="18" customHeight="1">
      <c r="A128" s="145">
        <f t="shared" si="3"/>
        <v>126</v>
      </c>
      <c r="B128" s="146"/>
      <c r="C128" s="225" t="str">
        <f t="shared" si="2"/>
        <v>1900-01</v>
      </c>
      <c r="D128" s="146"/>
      <c r="E128" s="147"/>
      <c r="F128" s="147"/>
      <c r="G128" s="147" t="str">
        <f>IF($E128="","",VLOOKUP($E128,$E$3:$L127,COLUMN()-3,))</f>
        <v/>
      </c>
      <c r="H128" s="147" t="str">
        <f>IF($E128="","",VLOOKUP($E128,$E$3:$L127,COLUMN()-3,))</f>
        <v/>
      </c>
      <c r="I128" s="147" t="str">
        <f>IF($E128="","",VLOOKUP($E128,$E$3:$L127,COLUMN()-3,))</f>
        <v/>
      </c>
      <c r="J128" s="147" t="str">
        <f>IF($E128="","",VLOOKUP($E128,$E$3:$L127,COLUMN()-3,))</f>
        <v/>
      </c>
      <c r="K128" s="147" t="str">
        <f>IF($E128="","",VLOOKUP($E128,$E$3:$L127,COLUMN()-3,))</f>
        <v/>
      </c>
      <c r="L128" s="147" t="str">
        <f>IF($E128="","",VLOOKUP($E128,$E$3:$L127,COLUMN()-3,))</f>
        <v/>
      </c>
      <c r="N128" s="2"/>
      <c r="O128" s="2"/>
      <c r="P128" s="2"/>
      <c r="Q128" s="2">
        <f t="shared" si="7"/>
        <v>0</v>
      </c>
    </row>
    <row r="129" spans="1:17" ht="18" customHeight="1">
      <c r="A129" s="145">
        <f t="shared" si="3"/>
        <v>127</v>
      </c>
      <c r="B129" s="146"/>
      <c r="C129" s="225" t="str">
        <f t="shared" si="2"/>
        <v>1900-01</v>
      </c>
      <c r="D129" s="146"/>
      <c r="E129" s="147"/>
      <c r="F129" s="147"/>
      <c r="G129" s="147" t="str">
        <f>IF($E129="","",VLOOKUP($E129,$E$3:$L128,COLUMN()-3,))</f>
        <v/>
      </c>
      <c r="H129" s="147" t="str">
        <f>IF($E129="","",VLOOKUP($E129,$E$3:$L128,COLUMN()-3,))</f>
        <v/>
      </c>
      <c r="I129" s="147" t="str">
        <f>IF($E129="","",VLOOKUP($E129,$E$3:$L128,COLUMN()-3,))</f>
        <v/>
      </c>
      <c r="J129" s="147" t="str">
        <f>IF($E129="","",VLOOKUP($E129,$E$3:$L128,COLUMN()-3,))</f>
        <v/>
      </c>
      <c r="K129" s="147" t="str">
        <f>IF($E129="","",VLOOKUP($E129,$E$3:$L128,COLUMN()-3,))</f>
        <v/>
      </c>
      <c r="L129" s="147" t="str">
        <f>IF($E129="","",VLOOKUP($E129,$E$3:$L128,COLUMN()-3,))</f>
        <v/>
      </c>
      <c r="N129" s="2"/>
      <c r="O129" s="2"/>
      <c r="P129" s="2"/>
      <c r="Q129" s="2">
        <f t="shared" si="7"/>
        <v>0</v>
      </c>
    </row>
    <row r="130" spans="1:17" ht="18" customHeight="1">
      <c r="A130" s="145">
        <f t="shared" si="3"/>
        <v>128</v>
      </c>
      <c r="B130" s="146"/>
      <c r="C130" s="225" t="str">
        <f t="shared" si="2"/>
        <v>1900-01</v>
      </c>
      <c r="D130" s="146"/>
      <c r="E130" s="147"/>
      <c r="F130" s="147"/>
      <c r="G130" s="147" t="str">
        <f>IF($E130="","",VLOOKUP($E130,$E$3:$L129,COLUMN()-3,))</f>
        <v/>
      </c>
      <c r="H130" s="147" t="str">
        <f>IF($E130="","",VLOOKUP($E130,$E$3:$L129,COLUMN()-3,))</f>
        <v/>
      </c>
      <c r="I130" s="147" t="str">
        <f>IF($E130="","",VLOOKUP($E130,$E$3:$L129,COLUMN()-3,))</f>
        <v/>
      </c>
      <c r="J130" s="147" t="str">
        <f>IF($E130="","",VLOOKUP($E130,$E$3:$L129,COLUMN()-3,))</f>
        <v/>
      </c>
      <c r="K130" s="147" t="str">
        <f>IF($E130="","",VLOOKUP($E130,$E$3:$L129,COLUMN()-3,))</f>
        <v/>
      </c>
      <c r="L130" s="147" t="str">
        <f>IF($E130="","",VLOOKUP($E130,$E$3:$L129,COLUMN()-3,))</f>
        <v/>
      </c>
      <c r="N130" s="2"/>
      <c r="O130" s="2"/>
      <c r="P130" s="2"/>
      <c r="Q130" s="2">
        <f t="shared" si="7"/>
        <v>0</v>
      </c>
    </row>
    <row r="131" spans="1:17" ht="18" customHeight="1">
      <c r="A131" s="145">
        <f t="shared" si="3"/>
        <v>129</v>
      </c>
      <c r="B131" s="146"/>
      <c r="C131" s="225" t="str">
        <f t="shared" si="2"/>
        <v>1900-01</v>
      </c>
      <c r="D131" s="146"/>
      <c r="E131" s="147"/>
      <c r="F131" s="147"/>
      <c r="G131" s="147" t="str">
        <f>IF($E131="","",VLOOKUP($E131,$E$3:$L130,COLUMN()-3,))</f>
        <v/>
      </c>
      <c r="H131" s="147" t="str">
        <f>IF($E131="","",VLOOKUP($E131,$E$3:$L130,COLUMN()-3,))</f>
        <v/>
      </c>
      <c r="I131" s="147" t="str">
        <f>IF($E131="","",VLOOKUP($E131,$E$3:$L130,COLUMN()-3,))</f>
        <v/>
      </c>
      <c r="J131" s="147" t="str">
        <f>IF($E131="","",VLOOKUP($E131,$E$3:$L130,COLUMN()-3,))</f>
        <v/>
      </c>
      <c r="K131" s="147" t="str">
        <f>IF($E131="","",VLOOKUP($E131,$E$3:$L130,COLUMN()-3,))</f>
        <v/>
      </c>
      <c r="L131" s="147" t="str">
        <f>IF($E131="","",VLOOKUP($E131,$E$3:$L130,COLUMN()-3,))</f>
        <v/>
      </c>
      <c r="N131" s="2"/>
      <c r="O131" s="2"/>
      <c r="P131" s="2"/>
      <c r="Q131" s="2">
        <f t="shared" si="7"/>
        <v>0</v>
      </c>
    </row>
    <row r="132" spans="1:17" ht="18" customHeight="1">
      <c r="A132" s="145"/>
      <c r="B132" s="146"/>
      <c r="C132" s="146"/>
      <c r="D132" s="146"/>
      <c r="E132" s="147"/>
      <c r="F132" s="147"/>
      <c r="G132" s="147"/>
      <c r="H132" s="147"/>
      <c r="I132" s="147"/>
      <c r="J132" s="147"/>
      <c r="K132" s="147"/>
      <c r="L132" s="147"/>
      <c r="N132" s="2"/>
      <c r="O132" s="2"/>
      <c r="P132" s="2"/>
      <c r="Q132" s="2"/>
    </row>
    <row r="133" spans="1:17" ht="18" customHeight="1">
      <c r="A133" s="145"/>
      <c r="B133" s="146"/>
      <c r="C133" s="146"/>
      <c r="D133" s="146"/>
      <c r="E133" s="147"/>
      <c r="F133" s="147"/>
      <c r="G133" s="147"/>
      <c r="H133" s="147"/>
      <c r="I133" s="147"/>
      <c r="J133" s="147"/>
      <c r="K133" s="147"/>
      <c r="L133" s="147"/>
      <c r="N133" s="2"/>
      <c r="O133" s="2"/>
      <c r="P133" s="2"/>
      <c r="Q133" s="2"/>
    </row>
    <row r="134" spans="1:17" ht="18" customHeight="1">
      <c r="A134" s="145"/>
      <c r="B134" s="146"/>
      <c r="C134" s="146"/>
      <c r="D134" s="146"/>
      <c r="E134" s="147"/>
      <c r="F134" s="147"/>
      <c r="G134" s="147"/>
      <c r="H134" s="147"/>
      <c r="I134" s="147"/>
      <c r="J134" s="147"/>
      <c r="K134" s="147"/>
      <c r="L134" s="147"/>
      <c r="N134" s="2"/>
      <c r="O134" s="2"/>
      <c r="P134" s="2"/>
      <c r="Q134" s="2"/>
    </row>
    <row r="135" spans="1:17" ht="18" customHeight="1">
      <c r="A135" s="145"/>
      <c r="B135" s="146"/>
      <c r="C135" s="146"/>
      <c r="D135" s="146"/>
      <c r="E135" s="147"/>
      <c r="F135" s="147"/>
      <c r="G135" s="147"/>
      <c r="H135" s="147"/>
      <c r="I135" s="147"/>
      <c r="J135" s="147"/>
      <c r="K135" s="147"/>
      <c r="L135" s="147"/>
      <c r="N135" s="2"/>
      <c r="O135" s="2"/>
      <c r="P135" s="2"/>
      <c r="Q135" s="2"/>
    </row>
    <row r="136" spans="1:17" ht="18" customHeight="1">
      <c r="A136" s="145"/>
      <c r="B136" s="146"/>
      <c r="C136" s="146"/>
      <c r="D136" s="146"/>
      <c r="E136" s="147"/>
      <c r="F136" s="147"/>
      <c r="G136" s="147"/>
      <c r="H136" s="147"/>
      <c r="I136" s="147"/>
      <c r="J136" s="147"/>
      <c r="K136" s="147"/>
      <c r="L136" s="147"/>
      <c r="N136" s="2"/>
      <c r="O136" s="2"/>
      <c r="P136" s="2"/>
      <c r="Q136" s="2"/>
    </row>
    <row r="137" spans="1:17" ht="18" customHeight="1">
      <c r="A137" s="145"/>
      <c r="B137" s="146"/>
      <c r="C137" s="146"/>
      <c r="D137" s="146"/>
      <c r="E137" s="147"/>
      <c r="F137" s="147"/>
      <c r="G137" s="147"/>
      <c r="H137" s="147"/>
      <c r="I137" s="147"/>
      <c r="J137" s="147"/>
      <c r="K137" s="147"/>
      <c r="L137" s="147"/>
      <c r="N137" s="2"/>
      <c r="O137" s="2"/>
      <c r="P137" s="2"/>
      <c r="Q137" s="2"/>
    </row>
    <row r="138" spans="1:17" ht="18" customHeight="1">
      <c r="A138" s="145"/>
      <c r="B138" s="146"/>
      <c r="C138" s="146"/>
      <c r="D138" s="146"/>
      <c r="E138" s="147"/>
      <c r="F138" s="147"/>
      <c r="G138" s="147"/>
      <c r="H138" s="147"/>
      <c r="I138" s="147"/>
      <c r="J138" s="147"/>
      <c r="K138" s="147"/>
      <c r="L138" s="147"/>
      <c r="N138" s="2"/>
      <c r="O138" s="2"/>
      <c r="P138" s="2"/>
      <c r="Q138" s="2"/>
    </row>
    <row r="139" spans="1:17" ht="18" customHeight="1">
      <c r="A139" s="145"/>
      <c r="B139" s="146"/>
      <c r="C139" s="146"/>
      <c r="D139" s="146"/>
      <c r="E139" s="147"/>
      <c r="F139" s="147"/>
      <c r="G139" s="147"/>
      <c r="H139" s="147"/>
      <c r="I139" s="147"/>
      <c r="J139" s="147"/>
      <c r="K139" s="147"/>
      <c r="L139" s="147"/>
      <c r="N139" s="2"/>
      <c r="O139" s="2"/>
      <c r="P139" s="2"/>
      <c r="Q139" s="2"/>
    </row>
    <row r="140" spans="1:17" ht="18" customHeight="1">
      <c r="A140" s="145"/>
      <c r="B140" s="146"/>
      <c r="C140" s="146"/>
      <c r="D140" s="146"/>
      <c r="E140" s="147"/>
      <c r="F140" s="147"/>
      <c r="G140" s="147"/>
      <c r="H140" s="147"/>
      <c r="I140" s="147"/>
      <c r="J140" s="147"/>
      <c r="K140" s="147"/>
      <c r="L140" s="147"/>
      <c r="N140" s="2"/>
      <c r="O140" s="2"/>
      <c r="P140" s="2"/>
      <c r="Q140" s="2"/>
    </row>
    <row r="141" spans="1:17" ht="18" customHeight="1">
      <c r="A141" s="145"/>
      <c r="B141" s="146"/>
      <c r="C141" s="146"/>
      <c r="D141" s="146"/>
      <c r="E141" s="147"/>
      <c r="F141" s="147"/>
      <c r="G141" s="147"/>
      <c r="H141" s="147"/>
      <c r="I141" s="147"/>
      <c r="J141" s="147"/>
      <c r="K141" s="147"/>
      <c r="L141" s="147"/>
      <c r="N141" s="2"/>
      <c r="O141" s="2"/>
      <c r="P141" s="2"/>
      <c r="Q141" s="2"/>
    </row>
    <row r="142" spans="1:17" ht="18" customHeight="1">
      <c r="A142" s="145"/>
      <c r="B142" s="146"/>
      <c r="C142" s="146"/>
      <c r="D142" s="146"/>
      <c r="E142" s="147"/>
      <c r="F142" s="147"/>
      <c r="G142" s="147"/>
      <c r="H142" s="147"/>
      <c r="I142" s="147"/>
      <c r="J142" s="147"/>
      <c r="K142" s="147"/>
      <c r="L142" s="147"/>
      <c r="N142" s="2"/>
      <c r="O142" s="2"/>
      <c r="P142" s="2"/>
      <c r="Q142" s="2"/>
    </row>
    <row r="143" spans="1:17" ht="18" customHeight="1">
      <c r="A143" s="145"/>
      <c r="B143" s="146"/>
      <c r="C143" s="146"/>
      <c r="D143" s="146"/>
      <c r="E143" s="147"/>
      <c r="F143" s="147"/>
      <c r="G143" s="147" t="str">
        <f>IF($E143="","",VLOOKUP($E143,$E$3:$L121,COLUMN()-3,))</f>
        <v/>
      </c>
      <c r="H143" s="147" t="str">
        <f>IF($E143="","",VLOOKUP($E143,$E$3:$L121,COLUMN()-3,))</f>
        <v/>
      </c>
      <c r="I143" s="147" t="str">
        <f>IF($E143="","",VLOOKUP($E143,$E$3:$L121,COLUMN()-3,))</f>
        <v/>
      </c>
      <c r="J143" s="147" t="str">
        <f>IF($E143="","",VLOOKUP($E143,$E$3:$L121,COLUMN()-3,))</f>
        <v/>
      </c>
      <c r="K143" s="147" t="str">
        <f>IF($E143="","",VLOOKUP($E143,$E$3:$L121,COLUMN()-3,))</f>
        <v/>
      </c>
      <c r="L143" s="147" t="str">
        <f>IF($E143="","",VLOOKUP($E143,$E$3:$L121,COLUMN()-3,))</f>
        <v/>
      </c>
      <c r="N143" s="2"/>
      <c r="O143" s="2"/>
      <c r="P143" s="2"/>
      <c r="Q143" s="2">
        <f t="shared" si="4"/>
        <v>0</v>
      </c>
    </row>
    <row r="144" spans="1:17" ht="18" customHeight="1">
      <c r="A144" s="154"/>
      <c r="B144" s="155"/>
      <c r="C144" s="155"/>
      <c r="D144" s="155"/>
      <c r="E144" s="156"/>
      <c r="F144" s="156">
        <f>SUM(F3:F126)</f>
        <v>7047106</v>
      </c>
      <c r="G144" s="156"/>
      <c r="H144" s="156"/>
      <c r="I144" s="156"/>
      <c r="J144" s="156"/>
      <c r="K144" s="156"/>
      <c r="L144" s="156"/>
      <c r="N144" s="2"/>
      <c r="O144" s="2"/>
      <c r="P144" s="2"/>
      <c r="Q144" s="2"/>
    </row>
  </sheetData>
  <autoFilter ref="A2:M64"/>
  <phoneticPr fontId="6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PrevInfo">
                <anchor moveWithCells="1" sizeWithCells="1">
                  <from>
                    <xdr:col>7</xdr:col>
                    <xdr:colOff>200025</xdr:colOff>
                    <xdr:row>0</xdr:row>
                    <xdr:rowOff>66675</xdr:rowOff>
                  </from>
                  <to>
                    <xdr:col>7</xdr:col>
                    <xdr:colOff>1247775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Q119"/>
  <sheetViews>
    <sheetView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C97" sqref="C97"/>
    </sheetView>
  </sheetViews>
  <sheetFormatPr defaultColWidth="10.28515625" defaultRowHeight="13.5"/>
  <cols>
    <col min="1" max="1" width="5.42578125" customWidth="1"/>
    <col min="3" max="3" width="10.140625" bestFit="1" customWidth="1"/>
    <col min="4" max="4" width="9.140625" bestFit="1" customWidth="1"/>
    <col min="5" max="5" width="10.7109375" bestFit="1" customWidth="1"/>
    <col min="6" max="6" width="11.85546875" bestFit="1" customWidth="1"/>
    <col min="8" max="8" width="21.85546875" bestFit="1" customWidth="1"/>
    <col min="9" max="9" width="8.42578125" bestFit="1" customWidth="1"/>
    <col min="10" max="10" width="9.42578125" bestFit="1" customWidth="1"/>
    <col min="11" max="11" width="7.7109375" bestFit="1" customWidth="1"/>
    <col min="12" max="12" width="9.42578125" bestFit="1" customWidth="1"/>
    <col min="13" max="13" width="8.5703125" bestFit="1" customWidth="1"/>
  </cols>
  <sheetData>
    <row r="2" spans="1:14" ht="18.75" customHeight="1">
      <c r="B2" s="228" t="s">
        <v>79</v>
      </c>
      <c r="C2" s="228"/>
      <c r="D2" s="228"/>
      <c r="E2" s="228"/>
      <c r="G2" s="142" t="s">
        <v>80</v>
      </c>
      <c r="H2" s="38" t="s">
        <v>81</v>
      </c>
    </row>
    <row r="3" spans="1:14" ht="18.75" customHeight="1">
      <c r="B3" s="228"/>
      <c r="C3" s="228"/>
      <c r="D3" s="228"/>
      <c r="E3" s="228"/>
      <c r="G3" s="143" t="s">
        <v>82</v>
      </c>
      <c r="H3" s="39" t="s">
        <v>83</v>
      </c>
    </row>
    <row r="4" spans="1:14" ht="18.75" customHeight="1">
      <c r="B4" s="228"/>
      <c r="C4" s="228"/>
      <c r="D4" s="228"/>
      <c r="E4" s="228"/>
      <c r="G4" s="143" t="s">
        <v>84</v>
      </c>
      <c r="H4" s="39" t="s">
        <v>85</v>
      </c>
    </row>
    <row r="5" spans="1:14" ht="18.75" customHeight="1">
      <c r="B5" s="228"/>
      <c r="C5" s="228"/>
      <c r="D5" s="228"/>
      <c r="E5" s="228"/>
      <c r="G5" s="144" t="s">
        <v>86</v>
      </c>
      <c r="H5" s="40">
        <v>43130</v>
      </c>
    </row>
    <row r="7" spans="1:14">
      <c r="E7" s="41">
        <f>MAX(E9:E118)</f>
        <v>64.516000000000005</v>
      </c>
    </row>
    <row r="8" spans="1:14" ht="22.5" customHeight="1">
      <c r="A8" s="175"/>
      <c r="B8" s="43" t="s">
        <v>87</v>
      </c>
      <c r="C8" s="199" t="s">
        <v>88</v>
      </c>
      <c r="D8" s="199" t="s">
        <v>89</v>
      </c>
      <c r="E8" s="43" t="s">
        <v>90</v>
      </c>
      <c r="F8" s="199" t="s">
        <v>91</v>
      </c>
      <c r="G8" s="199" t="s">
        <v>92</v>
      </c>
      <c r="H8" s="43" t="s">
        <v>93</v>
      </c>
      <c r="I8" s="199" t="s">
        <v>493</v>
      </c>
      <c r="J8" s="199" t="s">
        <v>495</v>
      </c>
      <c r="K8" s="199" t="s">
        <v>496</v>
      </c>
      <c r="L8" s="199" t="s">
        <v>494</v>
      </c>
      <c r="M8" s="199" t="s">
        <v>94</v>
      </c>
      <c r="N8" s="199" t="s">
        <v>428</v>
      </c>
    </row>
    <row r="9" spans="1:14" ht="15" customHeight="1">
      <c r="A9" s="175"/>
      <c r="B9" s="198" t="s">
        <v>95</v>
      </c>
      <c r="C9" s="45">
        <v>145074</v>
      </c>
      <c r="D9" s="46"/>
      <c r="E9" s="139">
        <v>52.670999999999999</v>
      </c>
      <c r="F9" s="45">
        <v>70000</v>
      </c>
      <c r="G9" s="46">
        <f>IFERROR(ROUNDDOWN(F9/E9,0),"")</f>
        <v>1329</v>
      </c>
      <c r="H9" s="46" t="s">
        <v>96</v>
      </c>
      <c r="I9" s="33"/>
      <c r="J9" s="33"/>
      <c r="K9" s="33"/>
      <c r="L9" s="33"/>
      <c r="M9" s="44"/>
    </row>
    <row r="10" spans="1:14" ht="15" customHeight="1">
      <c r="A10" s="175"/>
      <c r="B10" s="198">
        <v>43138</v>
      </c>
      <c r="C10" s="45">
        <v>145459</v>
      </c>
      <c r="D10" s="46">
        <f>IF(C9&gt;0,IF(C10&gt;0,C10-C9,0),0)</f>
        <v>385</v>
      </c>
      <c r="E10" s="139">
        <v>37.262</v>
      </c>
      <c r="F10" s="45">
        <v>49000</v>
      </c>
      <c r="G10" s="46">
        <f>IFERROR(ROUNDDOWN(F10/E10,0),"")</f>
        <v>1315</v>
      </c>
      <c r="H10" s="46" t="s">
        <v>97</v>
      </c>
      <c r="I10" s="47"/>
      <c r="J10" s="47"/>
      <c r="K10" s="47"/>
      <c r="L10" s="47"/>
    </row>
    <row r="11" spans="1:14" ht="15" customHeight="1">
      <c r="A11" s="175"/>
      <c r="B11" s="198">
        <v>43152</v>
      </c>
      <c r="C11" s="45">
        <v>145855</v>
      </c>
      <c r="D11" s="46">
        <f t="shared" ref="D11:D74" si="0">IF(C10&gt;0,IF(C11&gt;0,C11-C10,0),0)</f>
        <v>396</v>
      </c>
      <c r="E11" s="139">
        <v>53.231000000000002</v>
      </c>
      <c r="F11" s="45">
        <v>70000</v>
      </c>
      <c r="G11" s="46">
        <f>IFERROR(ROUNDDOWN(F11/E11,0),"")</f>
        <v>1315</v>
      </c>
      <c r="H11" s="46" t="s">
        <v>97</v>
      </c>
      <c r="I11" s="47"/>
      <c r="J11" s="47"/>
      <c r="K11" s="47"/>
      <c r="L11" s="47"/>
      <c r="M11" s="44"/>
    </row>
    <row r="12" spans="1:14" ht="15" customHeight="1">
      <c r="A12" s="175"/>
      <c r="B12" s="198">
        <v>43176</v>
      </c>
      <c r="C12" s="44">
        <v>146374</v>
      </c>
      <c r="D12" s="46">
        <f t="shared" si="0"/>
        <v>519</v>
      </c>
      <c r="E12" s="140">
        <v>55.767000000000003</v>
      </c>
      <c r="F12" s="44">
        <v>73000</v>
      </c>
      <c r="G12" s="46">
        <f t="shared" ref="G12:G18" si="1">IFERROR(F12/E12,"")</f>
        <v>1309.0178779564974</v>
      </c>
      <c r="H12" s="46" t="s">
        <v>97</v>
      </c>
      <c r="I12" s="47"/>
      <c r="J12" s="47"/>
      <c r="K12" s="47"/>
      <c r="L12" s="47"/>
      <c r="M12" s="44"/>
    </row>
    <row r="13" spans="1:14" ht="15" customHeight="1">
      <c r="A13" s="175"/>
      <c r="B13" s="198">
        <v>43189</v>
      </c>
      <c r="C13" s="50">
        <v>146646</v>
      </c>
      <c r="D13" s="46">
        <f t="shared" si="0"/>
        <v>272</v>
      </c>
      <c r="E13" s="141">
        <v>30.84</v>
      </c>
      <c r="F13" s="50">
        <v>40000</v>
      </c>
      <c r="G13" s="46">
        <f t="shared" si="1"/>
        <v>1297.0168612191958</v>
      </c>
      <c r="H13" s="46" t="s">
        <v>98</v>
      </c>
      <c r="I13" s="47"/>
      <c r="J13" s="47"/>
      <c r="K13" s="47"/>
      <c r="L13" s="47"/>
      <c r="M13" s="44"/>
    </row>
    <row r="14" spans="1:14" ht="15" customHeight="1">
      <c r="A14" s="175"/>
      <c r="B14" s="198">
        <v>43204</v>
      </c>
      <c r="C14" s="44">
        <v>147181</v>
      </c>
      <c r="D14" s="46">
        <f t="shared" si="0"/>
        <v>535</v>
      </c>
      <c r="E14" s="140">
        <v>50.497</v>
      </c>
      <c r="F14" s="44">
        <v>66000</v>
      </c>
      <c r="G14" s="46">
        <f t="shared" si="1"/>
        <v>1307.0083371289384</v>
      </c>
      <c r="H14" s="46" t="s">
        <v>97</v>
      </c>
      <c r="I14" s="47"/>
      <c r="J14" s="47"/>
      <c r="K14" s="47"/>
      <c r="L14" s="47"/>
      <c r="M14" s="44"/>
    </row>
    <row r="15" spans="1:14" ht="15" customHeight="1">
      <c r="A15" s="175"/>
      <c r="B15" s="198">
        <v>43218</v>
      </c>
      <c r="C15" s="44">
        <v>147636</v>
      </c>
      <c r="D15" s="46">
        <f t="shared" si="0"/>
        <v>455</v>
      </c>
      <c r="E15" s="140">
        <v>45.835999999999999</v>
      </c>
      <c r="F15" s="44">
        <v>60000</v>
      </c>
      <c r="G15" s="46">
        <f t="shared" si="1"/>
        <v>1309.0147482328302</v>
      </c>
      <c r="H15" s="46" t="s">
        <v>98</v>
      </c>
      <c r="I15" s="47"/>
      <c r="J15" s="47"/>
      <c r="K15" s="47"/>
      <c r="L15" s="47"/>
      <c r="M15" s="44"/>
    </row>
    <row r="16" spans="1:14" ht="15" customHeight="1">
      <c r="A16" s="175"/>
      <c r="B16" s="198">
        <v>43234</v>
      </c>
      <c r="C16" s="44">
        <v>148155</v>
      </c>
      <c r="D16" s="46">
        <f t="shared" si="0"/>
        <v>519</v>
      </c>
      <c r="E16" s="140">
        <v>51.86</v>
      </c>
      <c r="F16" s="44">
        <v>69000</v>
      </c>
      <c r="G16" s="46">
        <f t="shared" si="1"/>
        <v>1330.5052063247203</v>
      </c>
      <c r="H16" s="46" t="s">
        <v>99</v>
      </c>
      <c r="I16" s="47"/>
      <c r="J16" s="47"/>
      <c r="K16" s="47"/>
      <c r="L16" s="47"/>
      <c r="M16" s="44"/>
    </row>
    <row r="17" spans="1:16" ht="15" customHeight="1">
      <c r="A17" s="175"/>
      <c r="B17" s="198">
        <v>43245</v>
      </c>
      <c r="C17" s="44">
        <v>148680</v>
      </c>
      <c r="D17" s="46">
        <f t="shared" si="0"/>
        <v>525</v>
      </c>
      <c r="E17" s="140">
        <v>44.636000000000003</v>
      </c>
      <c r="F17" s="44">
        <v>62000</v>
      </c>
      <c r="G17" s="46">
        <f t="shared" si="1"/>
        <v>1389.0133524509363</v>
      </c>
      <c r="H17" s="46" t="s">
        <v>100</v>
      </c>
      <c r="I17" s="47"/>
      <c r="J17" s="47"/>
      <c r="K17" s="47"/>
      <c r="L17" s="47"/>
      <c r="M17" s="44"/>
    </row>
    <row r="18" spans="1:16" ht="15" customHeight="1">
      <c r="A18" s="176">
        <v>635</v>
      </c>
      <c r="B18" s="198">
        <v>43269</v>
      </c>
      <c r="C18" s="44">
        <v>149220</v>
      </c>
      <c r="D18" s="46">
        <f t="shared" si="0"/>
        <v>540</v>
      </c>
      <c r="E18" s="140">
        <v>47.136000000000003</v>
      </c>
      <c r="F18" s="44">
        <v>65000</v>
      </c>
      <c r="G18" s="46">
        <f t="shared" si="1"/>
        <v>1378.988458927359</v>
      </c>
      <c r="H18" s="46" t="s">
        <v>100</v>
      </c>
      <c r="I18" s="47"/>
      <c r="J18" s="47"/>
      <c r="K18" s="47"/>
      <c r="L18" s="47"/>
      <c r="M18" s="44"/>
    </row>
    <row r="19" spans="1:16" ht="15" customHeight="1">
      <c r="A19" s="176">
        <v>659</v>
      </c>
      <c r="B19" s="198">
        <v>43270</v>
      </c>
      <c r="C19" s="44">
        <v>149831</v>
      </c>
      <c r="D19" s="46">
        <f t="shared" si="0"/>
        <v>611</v>
      </c>
      <c r="E19" s="140">
        <v>47.860999999999997</v>
      </c>
      <c r="F19" s="44">
        <v>66000</v>
      </c>
      <c r="G19" s="46">
        <f>IFERROR(F19/E19,"")</f>
        <v>1378.9933348655481</v>
      </c>
      <c r="H19" s="46" t="s">
        <v>101</v>
      </c>
      <c r="I19" s="47">
        <f>SUM(E10:E19)</f>
        <v>464.92600000000004</v>
      </c>
      <c r="J19" s="209">
        <f>SUM(F10:F19)</f>
        <v>620000</v>
      </c>
      <c r="K19" s="46">
        <f>IFERROR(J19/I19,"")</f>
        <v>1333.5455534859309</v>
      </c>
      <c r="L19" s="209">
        <f>IF(C19&gt;0,C19-C10,0)</f>
        <v>4372</v>
      </c>
      <c r="M19" s="48">
        <f>IF(I19&gt;0,L19/I19,0)</f>
        <v>9.4036470320007908</v>
      </c>
    </row>
    <row r="20" spans="1:16" ht="15" customHeight="1">
      <c r="A20" s="176">
        <v>695</v>
      </c>
      <c r="B20" s="198">
        <v>43295</v>
      </c>
      <c r="C20" s="44">
        <v>150507</v>
      </c>
      <c r="D20" s="46">
        <f t="shared" si="0"/>
        <v>676</v>
      </c>
      <c r="E20" s="140">
        <v>58.994</v>
      </c>
      <c r="F20" s="44">
        <v>81000</v>
      </c>
      <c r="G20" s="46">
        <f t="shared" ref="G20:G118" si="2">IFERROR(F20/E20,"")</f>
        <v>1373.020985184934</v>
      </c>
      <c r="H20" s="46" t="s">
        <v>97</v>
      </c>
      <c r="I20" s="47">
        <f t="shared" ref="I20:I83" si="3">SUM(E11:E20)</f>
        <v>486.65800000000002</v>
      </c>
      <c r="J20" s="209">
        <f t="shared" ref="J20:J83" si="4">SUM(F11:F20)</f>
        <v>652000</v>
      </c>
      <c r="K20" s="46">
        <f t="shared" ref="K20:K83" si="5">IFERROR(J20/I20,"")</f>
        <v>1339.7498859568732</v>
      </c>
      <c r="L20" s="209">
        <f t="shared" ref="L20:L83" si="6">IF(C20&gt;0,C20-C11,0)</f>
        <v>4652</v>
      </c>
      <c r="M20" s="48">
        <f t="shared" ref="M20:M83" si="7">IF(I20&gt;0,L20/I20,0)</f>
        <v>9.5590743396800217</v>
      </c>
    </row>
    <row r="21" spans="1:16" ht="15" customHeight="1">
      <c r="A21" s="176">
        <v>701</v>
      </c>
      <c r="B21" s="198">
        <v>43305</v>
      </c>
      <c r="C21" s="44">
        <v>151056</v>
      </c>
      <c r="D21" s="46">
        <f t="shared" si="0"/>
        <v>549</v>
      </c>
      <c r="E21" s="140">
        <v>57.183999999999997</v>
      </c>
      <c r="F21" s="44">
        <v>80000</v>
      </c>
      <c r="G21" s="46">
        <f t="shared" si="2"/>
        <v>1398.9927252378288</v>
      </c>
      <c r="H21" s="46"/>
      <c r="I21" s="47">
        <f t="shared" si="3"/>
        <v>490.61099999999999</v>
      </c>
      <c r="J21" s="209">
        <f t="shared" si="4"/>
        <v>662000</v>
      </c>
      <c r="K21" s="46">
        <f t="shared" si="5"/>
        <v>1349.3378664563168</v>
      </c>
      <c r="L21" s="209">
        <f t="shared" si="6"/>
        <v>4682</v>
      </c>
      <c r="M21" s="48">
        <f t="shared" si="7"/>
        <v>9.5432022518859139</v>
      </c>
    </row>
    <row r="22" spans="1:16" ht="15" customHeight="1">
      <c r="A22" s="176">
        <v>689</v>
      </c>
      <c r="B22" s="198">
        <v>43315</v>
      </c>
      <c r="C22" s="44">
        <v>151605</v>
      </c>
      <c r="D22" s="46">
        <f t="shared" si="0"/>
        <v>549</v>
      </c>
      <c r="E22" s="140">
        <v>56.509</v>
      </c>
      <c r="F22" s="44">
        <v>79000</v>
      </c>
      <c r="G22" s="46">
        <f t="shared" si="2"/>
        <v>1398.0073970517969</v>
      </c>
      <c r="H22" s="46" t="s">
        <v>102</v>
      </c>
      <c r="I22" s="47">
        <f t="shared" si="3"/>
        <v>491.35299999999995</v>
      </c>
      <c r="J22" s="209">
        <f t="shared" si="4"/>
        <v>668000</v>
      </c>
      <c r="K22" s="46">
        <f t="shared" si="5"/>
        <v>1359.5113899782846</v>
      </c>
      <c r="L22" s="209">
        <f t="shared" si="6"/>
        <v>4959</v>
      </c>
      <c r="M22" s="48">
        <f t="shared" si="7"/>
        <v>10.092540393566336</v>
      </c>
    </row>
    <row r="23" spans="1:16" ht="15" customHeight="1">
      <c r="A23" s="176">
        <v>677</v>
      </c>
      <c r="B23" s="198">
        <v>43329</v>
      </c>
      <c r="C23" s="44">
        <v>152255</v>
      </c>
      <c r="D23" s="46">
        <f t="shared" si="0"/>
        <v>650</v>
      </c>
      <c r="E23" s="140">
        <v>56.287999999999997</v>
      </c>
      <c r="F23" s="44">
        <v>78000</v>
      </c>
      <c r="G23" s="46">
        <f t="shared" si="2"/>
        <v>1385.7305287094941</v>
      </c>
      <c r="H23" s="44" t="s">
        <v>100</v>
      </c>
      <c r="I23" s="47">
        <f t="shared" si="3"/>
        <v>516.80099999999993</v>
      </c>
      <c r="J23" s="209">
        <f t="shared" si="4"/>
        <v>706000</v>
      </c>
      <c r="K23" s="46">
        <f t="shared" si="5"/>
        <v>1366.0964278319896</v>
      </c>
      <c r="L23" s="209">
        <f t="shared" si="6"/>
        <v>5074</v>
      </c>
      <c r="M23" s="48">
        <f t="shared" si="7"/>
        <v>9.8180924572514385</v>
      </c>
      <c r="O23" s="44"/>
      <c r="P23" s="44"/>
    </row>
    <row r="24" spans="1:16" ht="15" customHeight="1">
      <c r="A24" s="176">
        <v>707</v>
      </c>
      <c r="B24" s="198">
        <v>43339</v>
      </c>
      <c r="C24" s="44">
        <v>153218</v>
      </c>
      <c r="D24" s="46">
        <f t="shared" si="0"/>
        <v>963</v>
      </c>
      <c r="E24" s="140">
        <v>62.271000000000001</v>
      </c>
      <c r="F24" s="44">
        <v>86000</v>
      </c>
      <c r="G24" s="46">
        <f t="shared" si="2"/>
        <v>1381.0602045896164</v>
      </c>
      <c r="H24" s="46"/>
      <c r="I24" s="47">
        <f t="shared" si="3"/>
        <v>528.57499999999993</v>
      </c>
      <c r="J24" s="209">
        <f t="shared" si="4"/>
        <v>726000</v>
      </c>
      <c r="K24" s="46">
        <f t="shared" si="5"/>
        <v>1373.5042330795063</v>
      </c>
      <c r="L24" s="209">
        <f t="shared" si="6"/>
        <v>5582</v>
      </c>
      <c r="M24" s="48">
        <f t="shared" si="7"/>
        <v>10.560469186019015</v>
      </c>
      <c r="O24" s="44"/>
      <c r="P24" s="44"/>
    </row>
    <row r="25" spans="1:16" ht="15" customHeight="1">
      <c r="A25" s="176">
        <v>731</v>
      </c>
      <c r="B25" s="198">
        <v>43341</v>
      </c>
      <c r="C25" s="44">
        <v>153633</v>
      </c>
      <c r="D25" s="46">
        <f t="shared" si="0"/>
        <v>415</v>
      </c>
      <c r="E25" s="140">
        <v>59.734000000000002</v>
      </c>
      <c r="F25" s="44">
        <v>86000</v>
      </c>
      <c r="G25" s="46">
        <f t="shared" si="2"/>
        <v>1439.7160745973817</v>
      </c>
      <c r="H25" s="46"/>
      <c r="I25" s="47">
        <f t="shared" si="3"/>
        <v>542.47300000000007</v>
      </c>
      <c r="J25" s="209">
        <f t="shared" si="4"/>
        <v>752000</v>
      </c>
      <c r="K25" s="46">
        <f t="shared" si="5"/>
        <v>1386.2441080016883</v>
      </c>
      <c r="L25" s="209">
        <f t="shared" si="6"/>
        <v>5478</v>
      </c>
      <c r="M25" s="48">
        <f t="shared" si="7"/>
        <v>10.098198435682512</v>
      </c>
      <c r="O25" s="44"/>
      <c r="P25" s="44"/>
    </row>
    <row r="26" spans="1:16" ht="15" customHeight="1">
      <c r="A26" s="176">
        <v>713</v>
      </c>
      <c r="B26" s="198">
        <v>43358</v>
      </c>
      <c r="C26" s="44">
        <v>154262</v>
      </c>
      <c r="D26" s="46">
        <f t="shared" si="0"/>
        <v>629</v>
      </c>
      <c r="E26" s="140">
        <v>53.228999999999999</v>
      </c>
      <c r="F26" s="44">
        <v>75000</v>
      </c>
      <c r="G26" s="46">
        <f t="shared" si="2"/>
        <v>1409.0063687087866</v>
      </c>
      <c r="H26" s="46" t="s">
        <v>103</v>
      </c>
      <c r="I26" s="47">
        <f t="shared" si="3"/>
        <v>543.84199999999998</v>
      </c>
      <c r="J26" s="209">
        <f t="shared" si="4"/>
        <v>758000</v>
      </c>
      <c r="K26" s="46">
        <f t="shared" si="5"/>
        <v>1393.7871661254555</v>
      </c>
      <c r="L26" s="209">
        <f t="shared" si="6"/>
        <v>5582</v>
      </c>
      <c r="M26" s="48">
        <f t="shared" si="7"/>
        <v>10.264010503050519</v>
      </c>
      <c r="O26" s="44"/>
      <c r="P26" s="44"/>
    </row>
    <row r="27" spans="1:16" ht="15" customHeight="1">
      <c r="A27" s="176">
        <v>725</v>
      </c>
      <c r="B27" s="198">
        <v>43359</v>
      </c>
      <c r="C27" s="44">
        <v>154841</v>
      </c>
      <c r="D27" s="46">
        <f t="shared" si="0"/>
        <v>579</v>
      </c>
      <c r="E27" s="140">
        <v>43.292999999999999</v>
      </c>
      <c r="F27" s="44">
        <v>61000</v>
      </c>
      <c r="G27" s="46">
        <f t="shared" si="2"/>
        <v>1409.0037650428476</v>
      </c>
      <c r="H27" s="46" t="s">
        <v>104</v>
      </c>
      <c r="I27" s="47">
        <f t="shared" si="3"/>
        <v>542.49899999999991</v>
      </c>
      <c r="J27" s="209">
        <f t="shared" si="4"/>
        <v>757000</v>
      </c>
      <c r="K27" s="46">
        <f t="shared" si="5"/>
        <v>1395.3942772244743</v>
      </c>
      <c r="L27" s="209">
        <f t="shared" si="6"/>
        <v>5621</v>
      </c>
      <c r="M27" s="48">
        <f t="shared" si="7"/>
        <v>10.361309421768521</v>
      </c>
      <c r="O27" s="44"/>
      <c r="P27" s="44"/>
    </row>
    <row r="28" spans="1:16" ht="15" customHeight="1">
      <c r="A28" s="176">
        <v>755</v>
      </c>
      <c r="B28" s="198">
        <v>43385</v>
      </c>
      <c r="C28" s="44">
        <v>155345</v>
      </c>
      <c r="D28" s="46">
        <f t="shared" si="0"/>
        <v>504</v>
      </c>
      <c r="E28" s="140">
        <v>49.033000000000001</v>
      </c>
      <c r="F28" s="44">
        <v>71000</v>
      </c>
      <c r="G28" s="46">
        <f t="shared" si="2"/>
        <v>1448.0044051965003</v>
      </c>
      <c r="H28" s="46" t="s">
        <v>100</v>
      </c>
      <c r="I28" s="47">
        <f t="shared" si="3"/>
        <v>544.39599999999996</v>
      </c>
      <c r="J28" s="209">
        <f t="shared" si="4"/>
        <v>763000</v>
      </c>
      <c r="K28" s="46">
        <f t="shared" si="5"/>
        <v>1401.5532810674583</v>
      </c>
      <c r="L28" s="209">
        <f t="shared" si="6"/>
        <v>5514</v>
      </c>
      <c r="M28" s="48">
        <f t="shared" si="7"/>
        <v>10.128656345748317</v>
      </c>
      <c r="P28" s="34"/>
    </row>
    <row r="29" spans="1:16" ht="15" customHeight="1">
      <c r="A29" s="176">
        <v>743</v>
      </c>
      <c r="B29" s="198">
        <v>43407</v>
      </c>
      <c r="C29" s="44">
        <v>155849</v>
      </c>
      <c r="D29" s="46">
        <f t="shared" si="0"/>
        <v>504</v>
      </c>
      <c r="E29" s="140">
        <v>53.997999999999998</v>
      </c>
      <c r="F29" s="44">
        <v>79000</v>
      </c>
      <c r="G29" s="46">
        <f t="shared" si="2"/>
        <v>1463.0171487832883</v>
      </c>
      <c r="H29" s="46" t="s">
        <v>97</v>
      </c>
      <c r="I29" s="47">
        <f t="shared" si="3"/>
        <v>550.53300000000002</v>
      </c>
      <c r="J29" s="209">
        <f t="shared" si="4"/>
        <v>776000</v>
      </c>
      <c r="K29" s="46">
        <f t="shared" si="5"/>
        <v>1409.5431154898979</v>
      </c>
      <c r="L29" s="209">
        <f t="shared" si="6"/>
        <v>5342</v>
      </c>
      <c r="M29" s="48">
        <f t="shared" si="7"/>
        <v>9.7033238697771065</v>
      </c>
    </row>
    <row r="30" spans="1:16" ht="15" customHeight="1">
      <c r="A30" s="176">
        <v>707</v>
      </c>
      <c r="B30" s="198">
        <v>43420</v>
      </c>
      <c r="C30" s="44">
        <v>156423</v>
      </c>
      <c r="D30" s="46">
        <f t="shared" si="0"/>
        <v>574</v>
      </c>
      <c r="E30" s="140">
        <v>55.595999999999997</v>
      </c>
      <c r="F30" s="44">
        <v>75000</v>
      </c>
      <c r="G30" s="46">
        <f t="shared" si="2"/>
        <v>1349.0179149579108</v>
      </c>
      <c r="H30" s="46" t="s">
        <v>167</v>
      </c>
      <c r="I30" s="47">
        <f t="shared" si="3"/>
        <v>547.13499999999999</v>
      </c>
      <c r="J30" s="209">
        <f t="shared" si="4"/>
        <v>770000</v>
      </c>
      <c r="K30" s="46">
        <f t="shared" si="5"/>
        <v>1407.3309146737095</v>
      </c>
      <c r="L30" s="209">
        <f t="shared" si="6"/>
        <v>5367</v>
      </c>
      <c r="M30" s="48">
        <f t="shared" si="7"/>
        <v>9.8092792455244133</v>
      </c>
    </row>
    <row r="31" spans="1:16" ht="15" customHeight="1">
      <c r="A31" s="176">
        <v>701</v>
      </c>
      <c r="B31" s="198">
        <v>43431</v>
      </c>
      <c r="C31" s="44">
        <v>156704</v>
      </c>
      <c r="D31" s="46">
        <f t="shared" si="0"/>
        <v>281</v>
      </c>
      <c r="E31" s="140">
        <v>32.984000000000002</v>
      </c>
      <c r="F31" s="44">
        <v>44000</v>
      </c>
      <c r="G31" s="46">
        <f t="shared" si="2"/>
        <v>1333.9801115692455</v>
      </c>
      <c r="H31" s="46" t="s">
        <v>168</v>
      </c>
      <c r="I31" s="47">
        <f t="shared" si="3"/>
        <v>522.93500000000006</v>
      </c>
      <c r="J31" s="209">
        <f t="shared" si="4"/>
        <v>734000</v>
      </c>
      <c r="K31" s="46">
        <f t="shared" si="5"/>
        <v>1403.6161281994894</v>
      </c>
      <c r="L31" s="209">
        <f t="shared" si="6"/>
        <v>5099</v>
      </c>
      <c r="M31" s="48">
        <f t="shared" si="7"/>
        <v>9.750733838813618</v>
      </c>
    </row>
    <row r="32" spans="1:16" ht="15" customHeight="1">
      <c r="A32" s="176">
        <v>683</v>
      </c>
      <c r="B32" s="198">
        <v>43441</v>
      </c>
      <c r="C32" s="44">
        <v>157309</v>
      </c>
      <c r="D32" s="46">
        <f t="shared" si="0"/>
        <v>605</v>
      </c>
      <c r="E32" s="140">
        <v>61.43</v>
      </c>
      <c r="F32" s="44">
        <v>79000</v>
      </c>
      <c r="G32" s="46">
        <f t="shared" si="2"/>
        <v>1286.0166042650171</v>
      </c>
      <c r="H32" s="46" t="s">
        <v>169</v>
      </c>
      <c r="I32" s="47">
        <f t="shared" si="3"/>
        <v>527.85599999999999</v>
      </c>
      <c r="J32" s="209">
        <f t="shared" si="4"/>
        <v>734000</v>
      </c>
      <c r="K32" s="46">
        <f t="shared" si="5"/>
        <v>1390.5307508108272</v>
      </c>
      <c r="L32" s="209">
        <f t="shared" si="6"/>
        <v>5054</v>
      </c>
      <c r="M32" s="48">
        <f t="shared" si="7"/>
        <v>9.5745809463186937</v>
      </c>
    </row>
    <row r="33" spans="1:13" ht="15" customHeight="1">
      <c r="A33" s="176">
        <v>659</v>
      </c>
      <c r="B33" s="198">
        <v>43442</v>
      </c>
      <c r="C33" s="44">
        <v>158021</v>
      </c>
      <c r="D33" s="46">
        <f t="shared" si="0"/>
        <v>712</v>
      </c>
      <c r="E33" s="140">
        <v>60.156999999999996</v>
      </c>
      <c r="F33" s="44">
        <v>77000</v>
      </c>
      <c r="G33" s="46">
        <f t="shared" si="2"/>
        <v>1279.9840417574014</v>
      </c>
      <c r="H33" s="46" t="s">
        <v>170</v>
      </c>
      <c r="I33" s="47">
        <f t="shared" si="3"/>
        <v>531.72500000000002</v>
      </c>
      <c r="J33" s="209">
        <f t="shared" si="4"/>
        <v>733000</v>
      </c>
      <c r="K33" s="46">
        <f t="shared" si="5"/>
        <v>1378.5321359725422</v>
      </c>
      <c r="L33" s="209">
        <f t="shared" si="6"/>
        <v>4803</v>
      </c>
      <c r="M33" s="48">
        <f t="shared" si="7"/>
        <v>9.0328647327095766</v>
      </c>
    </row>
    <row r="34" spans="1:13" ht="15" customHeight="1">
      <c r="A34" s="176">
        <v>682</v>
      </c>
      <c r="B34" s="198">
        <v>43451</v>
      </c>
      <c r="C34" s="44">
        <v>158472</v>
      </c>
      <c r="D34" s="46">
        <f t="shared" si="0"/>
        <v>451</v>
      </c>
      <c r="E34" s="140">
        <v>45.38</v>
      </c>
      <c r="F34" s="44">
        <v>56000</v>
      </c>
      <c r="G34" s="46">
        <f t="shared" si="2"/>
        <v>1234.0237990304097</v>
      </c>
      <c r="H34" s="46" t="s">
        <v>171</v>
      </c>
      <c r="I34" s="47">
        <f t="shared" si="3"/>
        <v>514.83399999999995</v>
      </c>
      <c r="J34" s="209">
        <f t="shared" si="4"/>
        <v>703000</v>
      </c>
      <c r="K34" s="46">
        <f t="shared" si="5"/>
        <v>1365.4886817886932</v>
      </c>
      <c r="L34" s="209">
        <f t="shared" si="6"/>
        <v>4839</v>
      </c>
      <c r="M34" s="48">
        <f t="shared" si="7"/>
        <v>9.3991461325398102</v>
      </c>
    </row>
    <row r="35" spans="1:13" ht="15" customHeight="1">
      <c r="A35" s="176">
        <v>677</v>
      </c>
      <c r="B35" s="198">
        <v>43469</v>
      </c>
      <c r="C35" s="44">
        <v>158951</v>
      </c>
      <c r="D35" s="46">
        <f t="shared" si="0"/>
        <v>479</v>
      </c>
      <c r="E35" s="140">
        <v>58.972000000000001</v>
      </c>
      <c r="F35" s="44">
        <v>70000</v>
      </c>
      <c r="G35" s="46">
        <f t="shared" si="2"/>
        <v>1187.0040018992063</v>
      </c>
      <c r="H35" s="46" t="s">
        <v>174</v>
      </c>
      <c r="I35" s="47">
        <f t="shared" si="3"/>
        <v>514.072</v>
      </c>
      <c r="J35" s="209">
        <f t="shared" si="4"/>
        <v>687000</v>
      </c>
      <c r="K35" s="46">
        <f t="shared" si="5"/>
        <v>1336.3886770724723</v>
      </c>
      <c r="L35" s="209">
        <f t="shared" si="6"/>
        <v>4689</v>
      </c>
      <c r="M35" s="48">
        <f t="shared" si="7"/>
        <v>9.1212904029007618</v>
      </c>
    </row>
    <row r="36" spans="1:13" ht="15" customHeight="1">
      <c r="A36" s="176">
        <v>641</v>
      </c>
      <c r="B36" s="198">
        <v>43483</v>
      </c>
      <c r="C36" s="44">
        <v>159434</v>
      </c>
      <c r="D36" s="46">
        <f t="shared" si="0"/>
        <v>483</v>
      </c>
      <c r="E36" s="140">
        <v>56.445</v>
      </c>
      <c r="F36" s="44">
        <v>67000</v>
      </c>
      <c r="G36" s="46">
        <f t="shared" si="2"/>
        <v>1186.9961909823721</v>
      </c>
      <c r="H36" s="46" t="str">
        <f>H35</f>
        <v>㈜삼표에너지동해</v>
      </c>
      <c r="I36" s="47">
        <f t="shared" si="3"/>
        <v>517.28800000000001</v>
      </c>
      <c r="J36" s="209">
        <f t="shared" si="4"/>
        <v>679000</v>
      </c>
      <c r="K36" s="46">
        <f t="shared" si="5"/>
        <v>1312.6150229659299</v>
      </c>
      <c r="L36" s="209">
        <f t="shared" si="6"/>
        <v>4593</v>
      </c>
      <c r="M36" s="48">
        <f t="shared" si="7"/>
        <v>8.8789997061598172</v>
      </c>
    </row>
    <row r="37" spans="1:13" ht="15" customHeight="1">
      <c r="A37" s="176">
        <v>611</v>
      </c>
      <c r="B37" s="198">
        <v>43501</v>
      </c>
      <c r="C37" s="44">
        <v>159880</v>
      </c>
      <c r="D37" s="46">
        <f t="shared" si="0"/>
        <v>446</v>
      </c>
      <c r="E37" s="140">
        <v>57.384</v>
      </c>
      <c r="F37" s="44">
        <v>68000</v>
      </c>
      <c r="G37" s="46">
        <f t="shared" si="2"/>
        <v>1184.9993029415864</v>
      </c>
      <c r="H37" s="46" t="str">
        <f t="shared" ref="H37:H91" si="8">H36</f>
        <v>㈜삼표에너지동해</v>
      </c>
      <c r="I37" s="47">
        <f t="shared" si="3"/>
        <v>531.37900000000002</v>
      </c>
      <c r="J37" s="209">
        <f t="shared" si="4"/>
        <v>686000</v>
      </c>
      <c r="K37" s="46">
        <f t="shared" si="5"/>
        <v>1290.9806371723384</v>
      </c>
      <c r="L37" s="209">
        <f t="shared" si="6"/>
        <v>4535</v>
      </c>
      <c r="M37" s="48">
        <f t="shared" si="7"/>
        <v>8.5343982355343364</v>
      </c>
    </row>
    <row r="38" spans="1:13" ht="15" customHeight="1">
      <c r="A38" s="176">
        <v>581</v>
      </c>
      <c r="B38" s="198">
        <v>43524</v>
      </c>
      <c r="C38" s="44">
        <v>160279</v>
      </c>
      <c r="D38" s="46">
        <f t="shared" si="0"/>
        <v>399</v>
      </c>
      <c r="E38" s="140">
        <v>57.741</v>
      </c>
      <c r="F38" s="44">
        <v>69000</v>
      </c>
      <c r="G38" s="46">
        <f t="shared" si="2"/>
        <v>1194.9914272354133</v>
      </c>
      <c r="H38" s="46" t="str">
        <f t="shared" si="8"/>
        <v>㈜삼표에너지동해</v>
      </c>
      <c r="I38" s="47">
        <f t="shared" si="3"/>
        <v>540.08699999999999</v>
      </c>
      <c r="J38" s="209">
        <f t="shared" si="4"/>
        <v>684000</v>
      </c>
      <c r="K38" s="46">
        <f t="shared" si="5"/>
        <v>1266.4626254658972</v>
      </c>
      <c r="L38" s="209">
        <f t="shared" si="6"/>
        <v>4430</v>
      </c>
      <c r="M38" s="48">
        <f t="shared" si="7"/>
        <v>8.2023822087922866</v>
      </c>
    </row>
    <row r="39" spans="1:13" ht="15" customHeight="1">
      <c r="A39" s="176">
        <v>539</v>
      </c>
      <c r="B39" s="198">
        <v>43540</v>
      </c>
      <c r="C39" s="44">
        <v>160773</v>
      </c>
      <c r="D39" s="46">
        <f t="shared" si="0"/>
        <v>494</v>
      </c>
      <c r="E39" s="140">
        <v>60.082000000000001</v>
      </c>
      <c r="F39" s="44">
        <v>73000</v>
      </c>
      <c r="G39" s="46">
        <f t="shared" si="2"/>
        <v>1215.0061582503911</v>
      </c>
      <c r="H39" s="46" t="str">
        <f t="shared" si="8"/>
        <v>㈜삼표에너지동해</v>
      </c>
      <c r="I39" s="47">
        <f t="shared" si="3"/>
        <v>546.17099999999994</v>
      </c>
      <c r="J39" s="209">
        <f t="shared" si="4"/>
        <v>678000</v>
      </c>
      <c r="K39" s="46">
        <f t="shared" si="5"/>
        <v>1241.3694612126972</v>
      </c>
      <c r="L39" s="209">
        <f t="shared" si="6"/>
        <v>4350</v>
      </c>
      <c r="M39" s="48">
        <f t="shared" si="7"/>
        <v>7.9645385785770397</v>
      </c>
    </row>
    <row r="40" spans="1:13" ht="15" customHeight="1">
      <c r="A40" s="176">
        <v>533</v>
      </c>
      <c r="B40" s="198">
        <v>43565</v>
      </c>
      <c r="C40" s="44">
        <v>161206</v>
      </c>
      <c r="D40" s="46">
        <f t="shared" si="0"/>
        <v>433</v>
      </c>
      <c r="E40" s="140">
        <v>56.936999999999998</v>
      </c>
      <c r="F40" s="44">
        <v>71000</v>
      </c>
      <c r="G40" s="46">
        <f t="shared" si="2"/>
        <v>1246.9922897237298</v>
      </c>
      <c r="H40" s="46" t="str">
        <f t="shared" si="8"/>
        <v>㈜삼표에너지동해</v>
      </c>
      <c r="I40" s="47">
        <f t="shared" si="3"/>
        <v>547.51199999999994</v>
      </c>
      <c r="J40" s="209">
        <f t="shared" si="4"/>
        <v>674000</v>
      </c>
      <c r="K40" s="46">
        <f t="shared" si="5"/>
        <v>1231.0232469790617</v>
      </c>
      <c r="L40" s="209">
        <f t="shared" si="6"/>
        <v>4502</v>
      </c>
      <c r="M40" s="48">
        <f t="shared" si="7"/>
        <v>8.222650827744415</v>
      </c>
    </row>
    <row r="41" spans="1:13" ht="15" customHeight="1">
      <c r="A41" s="176">
        <v>515</v>
      </c>
      <c r="B41" s="198">
        <v>43587</v>
      </c>
      <c r="C41" s="44">
        <v>161733</v>
      </c>
      <c r="D41" s="46">
        <f t="shared" si="0"/>
        <v>527</v>
      </c>
      <c r="E41" s="140">
        <v>60.606000000000002</v>
      </c>
      <c r="F41" s="44">
        <v>78000</v>
      </c>
      <c r="G41" s="46">
        <f t="shared" si="2"/>
        <v>1287.001287001287</v>
      </c>
      <c r="H41" s="46" t="str">
        <f t="shared" si="8"/>
        <v>㈜삼표에너지동해</v>
      </c>
      <c r="I41" s="47">
        <f t="shared" si="3"/>
        <v>575.13400000000001</v>
      </c>
      <c r="J41" s="209">
        <f t="shared" si="4"/>
        <v>708000</v>
      </c>
      <c r="K41" s="46">
        <f t="shared" si="5"/>
        <v>1231.017467233723</v>
      </c>
      <c r="L41" s="209">
        <f t="shared" si="6"/>
        <v>4424</v>
      </c>
      <c r="M41" s="48">
        <f t="shared" si="7"/>
        <v>7.6921204449745622</v>
      </c>
    </row>
    <row r="42" spans="1:13" ht="15" customHeight="1">
      <c r="A42" s="176">
        <v>521</v>
      </c>
      <c r="B42" s="198">
        <v>43613</v>
      </c>
      <c r="C42" s="44">
        <v>162226</v>
      </c>
      <c r="D42" s="46">
        <f t="shared" si="0"/>
        <v>493</v>
      </c>
      <c r="E42" s="140">
        <v>60.582999999999998</v>
      </c>
      <c r="F42" s="44">
        <v>81000</v>
      </c>
      <c r="G42" s="46">
        <f t="shared" si="2"/>
        <v>1337.0087318224585</v>
      </c>
      <c r="H42" s="46" t="str">
        <f t="shared" si="8"/>
        <v>㈜삼표에너지동해</v>
      </c>
      <c r="I42" s="47">
        <f t="shared" si="3"/>
        <v>574.28700000000003</v>
      </c>
      <c r="J42" s="209">
        <f t="shared" si="4"/>
        <v>710000</v>
      </c>
      <c r="K42" s="46">
        <f t="shared" si="5"/>
        <v>1236.3156400893629</v>
      </c>
      <c r="L42" s="209">
        <f t="shared" si="6"/>
        <v>4205</v>
      </c>
      <c r="M42" s="48">
        <f t="shared" si="7"/>
        <v>7.3221229106701005</v>
      </c>
    </row>
    <row r="43" spans="1:13" ht="15" customHeight="1">
      <c r="A43" s="176">
        <v>521</v>
      </c>
      <c r="B43" s="198">
        <v>43643</v>
      </c>
      <c r="C43" s="44">
        <v>162760</v>
      </c>
      <c r="D43" s="46">
        <f t="shared" si="0"/>
        <v>534</v>
      </c>
      <c r="E43" s="140">
        <v>58.732999999999997</v>
      </c>
      <c r="F43" s="44">
        <v>76000</v>
      </c>
      <c r="G43" s="46">
        <f t="shared" si="2"/>
        <v>1293.9914528459299</v>
      </c>
      <c r="H43" s="46" t="str">
        <f t="shared" si="8"/>
        <v>㈜삼표에너지동해</v>
      </c>
      <c r="I43" s="47">
        <f t="shared" si="3"/>
        <v>572.86299999999994</v>
      </c>
      <c r="J43" s="209">
        <f t="shared" si="4"/>
        <v>709000</v>
      </c>
      <c r="K43" s="46">
        <f t="shared" si="5"/>
        <v>1237.6432061417827</v>
      </c>
      <c r="L43" s="209">
        <f t="shared" si="6"/>
        <v>4288</v>
      </c>
      <c r="M43" s="48">
        <f t="shared" si="7"/>
        <v>7.4852102509675094</v>
      </c>
    </row>
    <row r="44" spans="1:13" ht="15" customHeight="1">
      <c r="A44" s="176">
        <v>527</v>
      </c>
      <c r="B44" s="198">
        <v>43665</v>
      </c>
      <c r="C44" s="44">
        <v>163310</v>
      </c>
      <c r="D44" s="46">
        <f t="shared" si="0"/>
        <v>550</v>
      </c>
      <c r="E44" s="140">
        <v>60.127000000000002</v>
      </c>
      <c r="F44" s="44">
        <v>76000</v>
      </c>
      <c r="G44" s="46">
        <f t="shared" si="2"/>
        <v>1263.9912185873234</v>
      </c>
      <c r="H44" s="46" t="str">
        <f t="shared" si="8"/>
        <v>㈜삼표에너지동해</v>
      </c>
      <c r="I44" s="47">
        <f t="shared" si="3"/>
        <v>587.6099999999999</v>
      </c>
      <c r="J44" s="209">
        <f t="shared" si="4"/>
        <v>729000</v>
      </c>
      <c r="K44" s="46">
        <f t="shared" si="5"/>
        <v>1240.6187777607599</v>
      </c>
      <c r="L44" s="209">
        <f t="shared" si="6"/>
        <v>4359</v>
      </c>
      <c r="M44" s="48">
        <f t="shared" si="7"/>
        <v>7.418185531219688</v>
      </c>
    </row>
    <row r="45" spans="1:13" ht="15" customHeight="1">
      <c r="A45" s="176">
        <v>719</v>
      </c>
      <c r="B45" s="198">
        <v>43688</v>
      </c>
      <c r="C45" s="44">
        <v>163816</v>
      </c>
      <c r="D45" s="46">
        <f t="shared" si="0"/>
        <v>506</v>
      </c>
      <c r="E45" s="140">
        <v>60.948999999999998</v>
      </c>
      <c r="F45" s="44">
        <v>81000</v>
      </c>
      <c r="G45" s="46">
        <f t="shared" si="2"/>
        <v>1328.9799668575367</v>
      </c>
      <c r="H45" s="46" t="str">
        <f t="shared" si="8"/>
        <v>㈜삼표에너지동해</v>
      </c>
      <c r="I45" s="47">
        <f t="shared" si="3"/>
        <v>589.58699999999999</v>
      </c>
      <c r="J45" s="209">
        <f t="shared" si="4"/>
        <v>740000</v>
      </c>
      <c r="K45" s="46">
        <f t="shared" si="5"/>
        <v>1255.115869244064</v>
      </c>
      <c r="L45" s="209">
        <f t="shared" si="6"/>
        <v>4382</v>
      </c>
      <c r="M45" s="48">
        <f t="shared" si="7"/>
        <v>7.4323212689560663</v>
      </c>
    </row>
    <row r="46" spans="1:13" ht="15" customHeight="1">
      <c r="A46" s="176">
        <v>683</v>
      </c>
      <c r="B46" s="198">
        <v>43704</v>
      </c>
      <c r="C46" s="44">
        <v>164533</v>
      </c>
      <c r="D46" s="46">
        <f t="shared" si="0"/>
        <v>717</v>
      </c>
      <c r="E46" s="140">
        <v>63.063000000000002</v>
      </c>
      <c r="F46" s="44">
        <v>84000</v>
      </c>
      <c r="G46" s="46">
        <f t="shared" si="2"/>
        <v>1332.001332001332</v>
      </c>
      <c r="H46" s="46" t="str">
        <f t="shared" si="8"/>
        <v>㈜삼표에너지동해</v>
      </c>
      <c r="I46" s="47">
        <f t="shared" si="3"/>
        <v>596.20499999999993</v>
      </c>
      <c r="J46" s="209">
        <f t="shared" si="4"/>
        <v>757000</v>
      </c>
      <c r="K46" s="46">
        <f t="shared" si="5"/>
        <v>1269.697503375517</v>
      </c>
      <c r="L46" s="209">
        <f t="shared" si="6"/>
        <v>4653</v>
      </c>
      <c r="M46" s="48">
        <f t="shared" si="7"/>
        <v>7.804362593403277</v>
      </c>
    </row>
    <row r="47" spans="1:13" ht="15" customHeight="1">
      <c r="A47" s="176">
        <v>639</v>
      </c>
      <c r="B47" s="198">
        <v>43721</v>
      </c>
      <c r="C47" s="44">
        <v>165270</v>
      </c>
      <c r="D47" s="46">
        <f t="shared" si="0"/>
        <v>737</v>
      </c>
      <c r="E47" s="140">
        <v>51.470999999999997</v>
      </c>
      <c r="F47" s="44">
        <v>70000</v>
      </c>
      <c r="G47" s="46">
        <f t="shared" si="2"/>
        <v>1359.9891200870393</v>
      </c>
      <c r="H47" s="46" t="str">
        <f t="shared" si="8"/>
        <v>㈜삼표에너지동해</v>
      </c>
      <c r="I47" s="47">
        <f t="shared" si="3"/>
        <v>590.29200000000003</v>
      </c>
      <c r="J47" s="209">
        <f t="shared" si="4"/>
        <v>759000</v>
      </c>
      <c r="K47" s="46">
        <f t="shared" si="5"/>
        <v>1285.8043137972393</v>
      </c>
      <c r="L47" s="209">
        <f t="shared" si="6"/>
        <v>4991</v>
      </c>
      <c r="M47" s="48">
        <f t="shared" si="7"/>
        <v>8.4551374573939668</v>
      </c>
    </row>
    <row r="48" spans="1:13" ht="15" customHeight="1">
      <c r="A48" s="176">
        <v>613</v>
      </c>
      <c r="B48" s="198">
        <v>43743</v>
      </c>
      <c r="C48" s="44">
        <v>165926</v>
      </c>
      <c r="D48" s="46">
        <f t="shared" si="0"/>
        <v>656</v>
      </c>
      <c r="E48" s="140">
        <v>51.091000000000001</v>
      </c>
      <c r="F48" s="44">
        <v>70000</v>
      </c>
      <c r="G48" s="46">
        <f t="shared" si="2"/>
        <v>1370.1043236577871</v>
      </c>
      <c r="H48" s="46" t="s">
        <v>266</v>
      </c>
      <c r="I48" s="47">
        <f t="shared" si="3"/>
        <v>583.64199999999994</v>
      </c>
      <c r="J48" s="209">
        <f t="shared" si="4"/>
        <v>760000</v>
      </c>
      <c r="K48" s="46">
        <f t="shared" si="5"/>
        <v>1302.1681099029886</v>
      </c>
      <c r="L48" s="209">
        <f t="shared" si="6"/>
        <v>5153</v>
      </c>
      <c r="M48" s="48">
        <f t="shared" si="7"/>
        <v>8.8290424609606575</v>
      </c>
    </row>
    <row r="49" spans="1:13" ht="15" customHeight="1">
      <c r="A49" s="176">
        <v>737</v>
      </c>
      <c r="B49" s="198">
        <v>43754</v>
      </c>
      <c r="C49" s="44">
        <v>166437</v>
      </c>
      <c r="D49" s="46">
        <f t="shared" si="0"/>
        <v>511</v>
      </c>
      <c r="E49" s="140">
        <v>51.094999999999999</v>
      </c>
      <c r="F49" s="44">
        <v>70000</v>
      </c>
      <c r="G49" s="46">
        <f t="shared" si="2"/>
        <v>1369.997064292005</v>
      </c>
      <c r="H49" s="46" t="str">
        <f t="shared" si="8"/>
        <v>지에스칼텍스 토당</v>
      </c>
      <c r="I49" s="47">
        <f t="shared" si="3"/>
        <v>574.65499999999997</v>
      </c>
      <c r="J49" s="209">
        <f t="shared" si="4"/>
        <v>757000</v>
      </c>
      <c r="K49" s="46">
        <f t="shared" si="5"/>
        <v>1317.3121264062786</v>
      </c>
      <c r="L49" s="209">
        <f t="shared" si="6"/>
        <v>5231</v>
      </c>
      <c r="M49" s="48">
        <f t="shared" si="7"/>
        <v>9.1028530161575212</v>
      </c>
    </row>
    <row r="50" spans="1:13" ht="15" customHeight="1">
      <c r="A50" s="176">
        <v>737</v>
      </c>
      <c r="B50" s="198">
        <v>43768</v>
      </c>
      <c r="C50" s="44">
        <v>167049</v>
      </c>
      <c r="D50" s="46">
        <f t="shared" si="0"/>
        <v>612</v>
      </c>
      <c r="E50" s="140">
        <v>51.851999999999997</v>
      </c>
      <c r="F50" s="44">
        <v>70000</v>
      </c>
      <c r="G50" s="46">
        <f t="shared" si="2"/>
        <v>1349.9961428681634</v>
      </c>
      <c r="H50" s="46" t="str">
        <f t="shared" si="8"/>
        <v>지에스칼텍스 토당</v>
      </c>
      <c r="I50" s="47">
        <f t="shared" si="3"/>
        <v>569.56999999999994</v>
      </c>
      <c r="J50" s="209">
        <f t="shared" si="4"/>
        <v>756000</v>
      </c>
      <c r="K50" s="46">
        <f t="shared" si="5"/>
        <v>1327.3170988640554</v>
      </c>
      <c r="L50" s="209">
        <f t="shared" si="6"/>
        <v>5316</v>
      </c>
      <c r="M50" s="48">
        <f t="shared" si="7"/>
        <v>9.3333567428059769</v>
      </c>
    </row>
    <row r="51" spans="1:13" ht="15" customHeight="1">
      <c r="A51" s="176">
        <v>737</v>
      </c>
      <c r="B51" s="198">
        <v>43785</v>
      </c>
      <c r="C51" s="44">
        <v>167598</v>
      </c>
      <c r="D51" s="46">
        <f t="shared" si="0"/>
        <v>549</v>
      </c>
      <c r="E51" s="140">
        <v>51.851999999999997</v>
      </c>
      <c r="F51" s="44">
        <v>70000</v>
      </c>
      <c r="G51" s="46">
        <f t="shared" si="2"/>
        <v>1349.9961428681634</v>
      </c>
      <c r="H51" s="46" t="str">
        <f t="shared" si="8"/>
        <v>지에스칼텍스 토당</v>
      </c>
      <c r="I51" s="47">
        <f t="shared" si="3"/>
        <v>560.81599999999992</v>
      </c>
      <c r="J51" s="209">
        <f t="shared" si="4"/>
        <v>748000</v>
      </c>
      <c r="K51" s="46">
        <f t="shared" si="5"/>
        <v>1333.7707911329207</v>
      </c>
      <c r="L51" s="209">
        <f t="shared" si="6"/>
        <v>5372</v>
      </c>
      <c r="M51" s="48">
        <f t="shared" si="7"/>
        <v>9.5788993181364308</v>
      </c>
    </row>
    <row r="52" spans="1:13" ht="15" customHeight="1">
      <c r="A52" s="176">
        <v>737</v>
      </c>
      <c r="B52" s="198">
        <v>43798</v>
      </c>
      <c r="C52" s="44">
        <v>168193</v>
      </c>
      <c r="D52" s="46">
        <f t="shared" si="0"/>
        <v>595</v>
      </c>
      <c r="E52" s="140">
        <v>52.084000000000003</v>
      </c>
      <c r="F52" s="44">
        <v>70000</v>
      </c>
      <c r="G52" s="46">
        <f t="shared" si="2"/>
        <v>1343.9827970201979</v>
      </c>
      <c r="H52" s="46" t="str">
        <f t="shared" si="8"/>
        <v>지에스칼텍스 토당</v>
      </c>
      <c r="I52" s="47">
        <f t="shared" si="3"/>
        <v>552.31700000000001</v>
      </c>
      <c r="J52" s="209">
        <f t="shared" si="4"/>
        <v>737000</v>
      </c>
      <c r="K52" s="46">
        <f t="shared" si="5"/>
        <v>1334.3786267668747</v>
      </c>
      <c r="L52" s="209">
        <f t="shared" si="6"/>
        <v>5433</v>
      </c>
      <c r="M52" s="48">
        <f t="shared" si="7"/>
        <v>9.8367423055962426</v>
      </c>
    </row>
    <row r="53" spans="1:13" ht="15" customHeight="1">
      <c r="A53" s="176">
        <v>731</v>
      </c>
      <c r="B53" s="198">
        <v>43810</v>
      </c>
      <c r="C53" s="44">
        <v>168729</v>
      </c>
      <c r="D53" s="46">
        <f t="shared" si="0"/>
        <v>536</v>
      </c>
      <c r="E53" s="140">
        <v>51.813000000000002</v>
      </c>
      <c r="F53" s="44">
        <v>70000</v>
      </c>
      <c r="G53" s="46">
        <f t="shared" si="2"/>
        <v>1351.0122942118774</v>
      </c>
      <c r="H53" s="46" t="str">
        <f t="shared" si="8"/>
        <v>지에스칼텍스 토당</v>
      </c>
      <c r="I53" s="47">
        <f t="shared" si="3"/>
        <v>545.39700000000005</v>
      </c>
      <c r="J53" s="209">
        <f t="shared" si="4"/>
        <v>731000</v>
      </c>
      <c r="K53" s="46">
        <f t="shared" si="5"/>
        <v>1340.3080691679638</v>
      </c>
      <c r="L53" s="209">
        <f t="shared" si="6"/>
        <v>5419</v>
      </c>
      <c r="M53" s="48">
        <f t="shared" si="7"/>
        <v>9.9358815688388447</v>
      </c>
    </row>
    <row r="54" spans="1:13" ht="15" customHeight="1">
      <c r="A54" s="176">
        <v>713</v>
      </c>
      <c r="B54" s="198">
        <v>43826</v>
      </c>
      <c r="C54" s="44">
        <v>169171</v>
      </c>
      <c r="D54" s="46">
        <f t="shared" si="0"/>
        <v>442</v>
      </c>
      <c r="E54" s="140">
        <v>51.058</v>
      </c>
      <c r="F54" s="44">
        <v>70000</v>
      </c>
      <c r="G54" s="46">
        <f t="shared" si="2"/>
        <v>1370.9898546750753</v>
      </c>
      <c r="H54" s="46" t="str">
        <f t="shared" si="8"/>
        <v>지에스칼텍스 토당</v>
      </c>
      <c r="I54" s="47">
        <f t="shared" si="3"/>
        <v>536.32799999999997</v>
      </c>
      <c r="J54" s="209">
        <f t="shared" si="4"/>
        <v>725000</v>
      </c>
      <c r="K54" s="46">
        <f t="shared" si="5"/>
        <v>1351.7847287480795</v>
      </c>
      <c r="L54" s="209">
        <f t="shared" si="6"/>
        <v>5355</v>
      </c>
      <c r="M54" s="48">
        <f t="shared" si="7"/>
        <v>9.9845616861323681</v>
      </c>
    </row>
    <row r="55" spans="1:13" ht="15" customHeight="1">
      <c r="A55" s="176">
        <v>677</v>
      </c>
      <c r="B55" s="198">
        <v>43844</v>
      </c>
      <c r="C55" s="44">
        <v>169607</v>
      </c>
      <c r="D55" s="46">
        <f t="shared" si="0"/>
        <v>436</v>
      </c>
      <c r="E55" s="140">
        <v>50.688000000000002</v>
      </c>
      <c r="F55" s="44">
        <v>70000</v>
      </c>
      <c r="G55" s="46">
        <f t="shared" si="2"/>
        <v>1380.9974747474746</v>
      </c>
      <c r="H55" s="46" t="str">
        <f t="shared" si="8"/>
        <v>지에스칼텍스 토당</v>
      </c>
      <c r="I55" s="47">
        <f t="shared" si="3"/>
        <v>526.06700000000001</v>
      </c>
      <c r="J55" s="209">
        <f t="shared" si="4"/>
        <v>714000</v>
      </c>
      <c r="K55" s="46">
        <f t="shared" si="5"/>
        <v>1357.2415680892357</v>
      </c>
      <c r="L55" s="209">
        <f t="shared" si="6"/>
        <v>5074</v>
      </c>
      <c r="M55" s="48">
        <f t="shared" si="7"/>
        <v>9.6451592667854094</v>
      </c>
    </row>
    <row r="56" spans="1:13" ht="15" customHeight="1">
      <c r="A56" s="176">
        <v>647</v>
      </c>
      <c r="B56" s="198">
        <v>43861</v>
      </c>
      <c r="C56" s="44">
        <v>170036</v>
      </c>
      <c r="D56" s="46">
        <f t="shared" si="0"/>
        <v>429</v>
      </c>
      <c r="E56" s="140">
        <v>50.688000000000002</v>
      </c>
      <c r="F56" s="44">
        <v>70000</v>
      </c>
      <c r="G56" s="46">
        <f t="shared" si="2"/>
        <v>1380.9974747474746</v>
      </c>
      <c r="H56" s="46" t="str">
        <f t="shared" si="8"/>
        <v>지에스칼텍스 토당</v>
      </c>
      <c r="I56" s="47">
        <f t="shared" si="3"/>
        <v>513.69200000000001</v>
      </c>
      <c r="J56" s="209">
        <f t="shared" si="4"/>
        <v>700000</v>
      </c>
      <c r="K56" s="46">
        <f t="shared" si="5"/>
        <v>1362.6842543781099</v>
      </c>
      <c r="L56" s="209">
        <f t="shared" si="6"/>
        <v>4766</v>
      </c>
      <c r="M56" s="48">
        <f t="shared" si="7"/>
        <v>9.2779330805229598</v>
      </c>
    </row>
    <row r="57" spans="1:13" ht="15" customHeight="1">
      <c r="A57" s="176">
        <v>629</v>
      </c>
      <c r="B57" s="198">
        <v>43878</v>
      </c>
      <c r="C57" s="44">
        <v>170511</v>
      </c>
      <c r="D57" s="46">
        <f t="shared" si="0"/>
        <v>475</v>
      </c>
      <c r="E57" s="140">
        <v>53.151000000000003</v>
      </c>
      <c r="F57" s="44">
        <v>70000</v>
      </c>
      <c r="G57" s="46">
        <f t="shared" si="2"/>
        <v>1317.0025023047542</v>
      </c>
      <c r="H57" s="46" t="s">
        <v>322</v>
      </c>
      <c r="I57" s="47">
        <f t="shared" si="3"/>
        <v>515.37199999999996</v>
      </c>
      <c r="J57" s="209">
        <f t="shared" si="4"/>
        <v>700000</v>
      </c>
      <c r="K57" s="46">
        <f t="shared" si="5"/>
        <v>1358.2422017494162</v>
      </c>
      <c r="L57" s="209">
        <f t="shared" si="6"/>
        <v>4585</v>
      </c>
      <c r="M57" s="48">
        <f t="shared" si="7"/>
        <v>8.8964864214586754</v>
      </c>
    </row>
    <row r="58" spans="1:13" ht="15" customHeight="1">
      <c r="A58" s="176">
        <v>629</v>
      </c>
      <c r="B58" s="198">
        <v>43882</v>
      </c>
      <c r="C58" s="44">
        <v>171122</v>
      </c>
      <c r="D58" s="46">
        <f t="shared" si="0"/>
        <v>611</v>
      </c>
      <c r="E58" s="140">
        <v>53.231999999999999</v>
      </c>
      <c r="F58" s="44">
        <v>70000</v>
      </c>
      <c r="G58" s="46">
        <f t="shared" si="2"/>
        <v>1314.9984971445747</v>
      </c>
      <c r="H58" s="46" t="s">
        <v>343</v>
      </c>
      <c r="I58" s="47">
        <f t="shared" si="3"/>
        <v>517.51300000000003</v>
      </c>
      <c r="J58" s="209">
        <f t="shared" si="4"/>
        <v>700000</v>
      </c>
      <c r="K58" s="46">
        <f t="shared" si="5"/>
        <v>1352.6230258950015</v>
      </c>
      <c r="L58" s="209">
        <f t="shared" si="6"/>
        <v>4685</v>
      </c>
      <c r="M58" s="48">
        <f t="shared" si="7"/>
        <v>9.0529126804544031</v>
      </c>
    </row>
    <row r="59" spans="1:13" ht="15" customHeight="1">
      <c r="A59" s="176">
        <v>647</v>
      </c>
      <c r="B59" s="198">
        <v>43896</v>
      </c>
      <c r="C59" s="44">
        <v>171771</v>
      </c>
      <c r="D59" s="46">
        <f t="shared" si="0"/>
        <v>649</v>
      </c>
      <c r="E59" s="140">
        <v>54.902000000000001</v>
      </c>
      <c r="F59" s="44">
        <v>70000</v>
      </c>
      <c r="G59" s="46">
        <f t="shared" si="2"/>
        <v>1274.9990892863648</v>
      </c>
      <c r="H59" s="46" t="str">
        <f t="shared" si="8"/>
        <v>지에스칼텍스 토당</v>
      </c>
      <c r="I59" s="47">
        <f t="shared" si="3"/>
        <v>521.32000000000005</v>
      </c>
      <c r="J59" s="209">
        <f t="shared" si="4"/>
        <v>700000</v>
      </c>
      <c r="K59" s="46">
        <f t="shared" si="5"/>
        <v>1342.7453387554667</v>
      </c>
      <c r="L59" s="209">
        <f t="shared" si="6"/>
        <v>4722</v>
      </c>
      <c r="M59" s="48">
        <f t="shared" si="7"/>
        <v>9.0577764137190204</v>
      </c>
    </row>
    <row r="60" spans="1:13" ht="15" customHeight="1">
      <c r="A60" s="176">
        <v>671</v>
      </c>
      <c r="B60" s="198">
        <v>43906</v>
      </c>
      <c r="C60" s="44">
        <v>172381</v>
      </c>
      <c r="D60" s="46">
        <f t="shared" si="0"/>
        <v>610</v>
      </c>
      <c r="E60" s="140">
        <v>55.777000000000001</v>
      </c>
      <c r="F60" s="44">
        <v>70000</v>
      </c>
      <c r="G60" s="46">
        <f t="shared" si="2"/>
        <v>1254.9975796475248</v>
      </c>
      <c r="H60" s="46" t="str">
        <f t="shared" si="8"/>
        <v>지에스칼텍스 토당</v>
      </c>
      <c r="I60" s="47">
        <f t="shared" si="3"/>
        <v>525.245</v>
      </c>
      <c r="J60" s="209">
        <f t="shared" si="4"/>
        <v>700000</v>
      </c>
      <c r="K60" s="46">
        <f t="shared" si="5"/>
        <v>1332.7114013460384</v>
      </c>
      <c r="L60" s="209">
        <f t="shared" si="6"/>
        <v>4783</v>
      </c>
      <c r="M60" s="48">
        <f t="shared" si="7"/>
        <v>9.106226618054432</v>
      </c>
    </row>
    <row r="61" spans="1:13" ht="15" customHeight="1">
      <c r="A61" s="176">
        <v>689</v>
      </c>
      <c r="B61" s="198">
        <v>43917</v>
      </c>
      <c r="C61" s="44">
        <v>172991</v>
      </c>
      <c r="D61" s="46">
        <f t="shared" si="0"/>
        <v>610</v>
      </c>
      <c r="E61" s="140">
        <v>56.68</v>
      </c>
      <c r="F61" s="44">
        <v>64899</v>
      </c>
      <c r="G61" s="46">
        <f t="shared" si="2"/>
        <v>1145.0070571630204</v>
      </c>
      <c r="H61" s="46" t="str">
        <f t="shared" si="8"/>
        <v>지에스칼텍스 토당</v>
      </c>
      <c r="I61" s="47">
        <f t="shared" si="3"/>
        <v>530.07299999999998</v>
      </c>
      <c r="J61" s="209">
        <f t="shared" si="4"/>
        <v>694899</v>
      </c>
      <c r="K61" s="46">
        <f t="shared" si="5"/>
        <v>1310.9496239197242</v>
      </c>
      <c r="L61" s="209">
        <f t="shared" si="6"/>
        <v>4798</v>
      </c>
      <c r="M61" s="48">
        <f t="shared" si="7"/>
        <v>9.0515834611459187</v>
      </c>
    </row>
    <row r="62" spans="1:13" ht="15" customHeight="1">
      <c r="A62" s="176">
        <v>641</v>
      </c>
      <c r="B62" s="198">
        <v>43929</v>
      </c>
      <c r="C62" s="44">
        <v>173698</v>
      </c>
      <c r="D62" s="46">
        <f t="shared" si="0"/>
        <v>707</v>
      </c>
      <c r="E62" s="140">
        <v>51.613</v>
      </c>
      <c r="F62" s="44">
        <v>56000</v>
      </c>
      <c r="G62" s="46">
        <f t="shared" si="2"/>
        <v>1084.9979656288144</v>
      </c>
      <c r="H62" s="46" t="str">
        <f t="shared" si="8"/>
        <v>지에스칼텍스 토당</v>
      </c>
      <c r="I62" s="47">
        <f t="shared" si="3"/>
        <v>529.60199999999998</v>
      </c>
      <c r="J62" s="209">
        <f t="shared" si="4"/>
        <v>680899</v>
      </c>
      <c r="K62" s="46">
        <f t="shared" si="5"/>
        <v>1285.6805676715724</v>
      </c>
      <c r="L62" s="209">
        <f t="shared" si="6"/>
        <v>4969</v>
      </c>
      <c r="M62" s="48">
        <f t="shared" si="7"/>
        <v>9.3825174376229707</v>
      </c>
    </row>
    <row r="63" spans="1:13" ht="15" customHeight="1">
      <c r="A63" s="175">
        <v>613</v>
      </c>
      <c r="B63" s="198">
        <v>43942</v>
      </c>
      <c r="C63" s="44">
        <v>174314</v>
      </c>
      <c r="D63" s="46">
        <f t="shared" si="0"/>
        <v>616</v>
      </c>
      <c r="E63" s="140">
        <v>52.173999999999999</v>
      </c>
      <c r="F63" s="44">
        <v>54000</v>
      </c>
      <c r="G63" s="46">
        <f t="shared" si="2"/>
        <v>1034.9982750028751</v>
      </c>
      <c r="H63" s="46" t="str">
        <f t="shared" si="8"/>
        <v>지에스칼텍스 토당</v>
      </c>
      <c r="I63" s="47">
        <f t="shared" si="3"/>
        <v>529.96299999999997</v>
      </c>
      <c r="J63" s="209">
        <f t="shared" si="4"/>
        <v>664899</v>
      </c>
      <c r="K63" s="46">
        <f t="shared" si="5"/>
        <v>1254.6140013548115</v>
      </c>
      <c r="L63" s="209">
        <f t="shared" si="6"/>
        <v>5143</v>
      </c>
      <c r="M63" s="48">
        <f t="shared" si="7"/>
        <v>9.7044510654517389</v>
      </c>
    </row>
    <row r="64" spans="1:13" ht="15" customHeight="1">
      <c r="A64" s="175">
        <v>707</v>
      </c>
      <c r="B64" s="198">
        <v>43965</v>
      </c>
      <c r="C64" s="44">
        <v>174825</v>
      </c>
      <c r="D64" s="46">
        <f t="shared" si="0"/>
        <v>511</v>
      </c>
      <c r="E64" s="140">
        <v>56.280999999999999</v>
      </c>
      <c r="F64" s="44">
        <v>56000</v>
      </c>
      <c r="G64" s="46">
        <f t="shared" si="2"/>
        <v>995.00719603418565</v>
      </c>
      <c r="H64" s="46" t="str">
        <f t="shared" si="8"/>
        <v>지에스칼텍스 토당</v>
      </c>
      <c r="I64" s="47">
        <f t="shared" si="3"/>
        <v>535.18599999999992</v>
      </c>
      <c r="J64" s="209">
        <f t="shared" si="4"/>
        <v>650899</v>
      </c>
      <c r="K64" s="46">
        <f t="shared" si="5"/>
        <v>1216.2108126894202</v>
      </c>
      <c r="L64" s="209">
        <f t="shared" si="6"/>
        <v>5218</v>
      </c>
      <c r="M64" s="48">
        <f t="shared" si="7"/>
        <v>9.7498813496616137</v>
      </c>
    </row>
    <row r="65" spans="1:15" ht="15" customHeight="1">
      <c r="A65" s="175">
        <v>701</v>
      </c>
      <c r="B65" s="198">
        <v>43980</v>
      </c>
      <c r="C65" s="44">
        <v>175392</v>
      </c>
      <c r="D65" s="46">
        <f t="shared" si="0"/>
        <v>567</v>
      </c>
      <c r="E65" s="140">
        <v>54.545000000000002</v>
      </c>
      <c r="F65" s="44">
        <v>57000</v>
      </c>
      <c r="G65" s="46">
        <f t="shared" si="2"/>
        <v>1045.0087084059035</v>
      </c>
      <c r="H65" s="46" t="str">
        <f t="shared" si="8"/>
        <v>지에스칼텍스 토당</v>
      </c>
      <c r="I65" s="47">
        <f t="shared" si="3"/>
        <v>539.04300000000001</v>
      </c>
      <c r="J65" s="209">
        <f t="shared" si="4"/>
        <v>637899</v>
      </c>
      <c r="K65" s="46">
        <f t="shared" si="5"/>
        <v>1183.3916774728546</v>
      </c>
      <c r="L65" s="209">
        <f t="shared" si="6"/>
        <v>5356</v>
      </c>
      <c r="M65" s="48">
        <f t="shared" si="7"/>
        <v>9.9361275445558146</v>
      </c>
    </row>
    <row r="66" spans="1:15" ht="15" customHeight="1">
      <c r="A66" s="175">
        <v>689</v>
      </c>
      <c r="B66" s="198">
        <v>43997</v>
      </c>
      <c r="C66" s="44">
        <v>175978</v>
      </c>
      <c r="D66" s="46">
        <f t="shared" si="0"/>
        <v>586</v>
      </c>
      <c r="E66" s="140">
        <v>55.506999999999998</v>
      </c>
      <c r="F66" s="44">
        <v>63000</v>
      </c>
      <c r="G66" s="46">
        <f t="shared" si="2"/>
        <v>1134.9919829931359</v>
      </c>
      <c r="H66" s="46" t="str">
        <f t="shared" si="8"/>
        <v>지에스칼텍스 토당</v>
      </c>
      <c r="I66" s="47">
        <f t="shared" si="3"/>
        <v>543.86199999999997</v>
      </c>
      <c r="J66" s="209">
        <f t="shared" si="4"/>
        <v>630899</v>
      </c>
      <c r="K66" s="46">
        <f t="shared" si="5"/>
        <v>1160.0350824289985</v>
      </c>
      <c r="L66" s="209">
        <f t="shared" si="6"/>
        <v>5467</v>
      </c>
      <c r="M66" s="48">
        <f t="shared" si="7"/>
        <v>10.052182355082724</v>
      </c>
    </row>
    <row r="67" spans="1:15" ht="15" customHeight="1">
      <c r="A67" s="175">
        <v>701</v>
      </c>
      <c r="B67" s="198">
        <v>44014</v>
      </c>
      <c r="C67" s="44">
        <v>176546</v>
      </c>
      <c r="D67" s="46">
        <f t="shared" si="0"/>
        <v>568</v>
      </c>
      <c r="E67" s="140">
        <v>54.545000000000002</v>
      </c>
      <c r="F67" s="44">
        <v>60000</v>
      </c>
      <c r="G67" s="46">
        <f t="shared" si="2"/>
        <v>1100.0091667430561</v>
      </c>
      <c r="H67" s="46" t="str">
        <f t="shared" si="8"/>
        <v>지에스칼텍스 토당</v>
      </c>
      <c r="I67" s="47">
        <f t="shared" si="3"/>
        <v>545.25599999999997</v>
      </c>
      <c r="J67" s="209">
        <f t="shared" si="4"/>
        <v>620899</v>
      </c>
      <c r="K67" s="46">
        <f t="shared" si="5"/>
        <v>1138.729330809748</v>
      </c>
      <c r="L67" s="209">
        <f t="shared" si="6"/>
        <v>5424</v>
      </c>
      <c r="M67" s="48">
        <f t="shared" si="7"/>
        <v>9.9476209340199837</v>
      </c>
    </row>
    <row r="68" spans="1:15" ht="15" customHeight="1">
      <c r="A68" s="175">
        <v>701</v>
      </c>
      <c r="B68" s="198">
        <v>44023</v>
      </c>
      <c r="C68" s="44">
        <v>177249</v>
      </c>
      <c r="D68" s="46">
        <f t="shared" si="0"/>
        <v>703</v>
      </c>
      <c r="E68" s="140">
        <v>60.606000000000002</v>
      </c>
      <c r="F68" s="44">
        <v>70000</v>
      </c>
      <c r="G68" s="46">
        <f t="shared" si="2"/>
        <v>1155.001155001155</v>
      </c>
      <c r="H68" s="46" t="str">
        <f t="shared" si="8"/>
        <v>지에스칼텍스 토당</v>
      </c>
      <c r="I68" s="47">
        <f t="shared" si="3"/>
        <v>552.63000000000011</v>
      </c>
      <c r="J68" s="209">
        <f t="shared" si="4"/>
        <v>620899</v>
      </c>
      <c r="K68" s="46">
        <f t="shared" si="5"/>
        <v>1123.5347339087634</v>
      </c>
      <c r="L68" s="209">
        <f t="shared" si="6"/>
        <v>5478</v>
      </c>
      <c r="M68" s="48">
        <f t="shared" si="7"/>
        <v>9.9125997502849987</v>
      </c>
      <c r="O68" s="34"/>
    </row>
    <row r="69" spans="1:15" ht="15" customHeight="1">
      <c r="A69" s="175">
        <v>725</v>
      </c>
      <c r="B69" s="198">
        <v>44041</v>
      </c>
      <c r="C69" s="44">
        <v>177963</v>
      </c>
      <c r="D69" s="46">
        <f t="shared" si="0"/>
        <v>714</v>
      </c>
      <c r="E69" s="140">
        <v>60.606000000000002</v>
      </c>
      <c r="F69" s="44">
        <v>70000</v>
      </c>
      <c r="G69" s="46">
        <f t="shared" si="2"/>
        <v>1155.001155001155</v>
      </c>
      <c r="H69" s="46" t="str">
        <f t="shared" si="8"/>
        <v>지에스칼텍스 토당</v>
      </c>
      <c r="I69" s="47">
        <f t="shared" si="3"/>
        <v>558.33400000000006</v>
      </c>
      <c r="J69" s="209">
        <f t="shared" si="4"/>
        <v>620899</v>
      </c>
      <c r="K69" s="46">
        <f t="shared" si="5"/>
        <v>1112.0565826190057</v>
      </c>
      <c r="L69" s="209">
        <f t="shared" si="6"/>
        <v>5582</v>
      </c>
      <c r="M69" s="48">
        <f t="shared" si="7"/>
        <v>9.9976000028656671</v>
      </c>
    </row>
    <row r="70" spans="1:15" ht="15" customHeight="1">
      <c r="A70" s="175">
        <v>731</v>
      </c>
      <c r="B70" s="198">
        <v>44068</v>
      </c>
      <c r="C70" s="44">
        <v>178655</v>
      </c>
      <c r="D70" s="46">
        <f t="shared" si="0"/>
        <v>692</v>
      </c>
      <c r="E70" s="140">
        <v>60.085999999999999</v>
      </c>
      <c r="F70" s="44">
        <v>70000</v>
      </c>
      <c r="G70" s="46">
        <f t="shared" si="2"/>
        <v>1164.9968378657259</v>
      </c>
      <c r="H70" s="46" t="str">
        <f t="shared" si="8"/>
        <v>지에스칼텍스 토당</v>
      </c>
      <c r="I70" s="47">
        <f t="shared" si="3"/>
        <v>562.64300000000003</v>
      </c>
      <c r="J70" s="209">
        <f t="shared" si="4"/>
        <v>620899</v>
      </c>
      <c r="K70" s="46">
        <f t="shared" si="5"/>
        <v>1103.5399000787354</v>
      </c>
      <c r="L70" s="209">
        <f t="shared" si="6"/>
        <v>5664</v>
      </c>
      <c r="M70" s="48">
        <f t="shared" si="7"/>
        <v>10.06677413564196</v>
      </c>
    </row>
    <row r="71" spans="1:15" ht="15" customHeight="1">
      <c r="A71" s="175">
        <v>731</v>
      </c>
      <c r="B71" s="198">
        <v>44090</v>
      </c>
      <c r="C71" s="44">
        <v>179263</v>
      </c>
      <c r="D71" s="46">
        <f t="shared" si="0"/>
        <v>608</v>
      </c>
      <c r="E71" s="140">
        <v>61.134999999999998</v>
      </c>
      <c r="F71" s="44">
        <v>70000</v>
      </c>
      <c r="G71" s="46">
        <f t="shared" si="2"/>
        <v>1145.0069518279217</v>
      </c>
      <c r="H71" s="46" t="str">
        <f t="shared" si="8"/>
        <v>지에스칼텍스 토당</v>
      </c>
      <c r="I71" s="47">
        <f t="shared" si="3"/>
        <v>567.09800000000007</v>
      </c>
      <c r="J71" s="209">
        <f t="shared" si="4"/>
        <v>626000</v>
      </c>
      <c r="K71" s="46">
        <f t="shared" si="5"/>
        <v>1103.8656457966699</v>
      </c>
      <c r="L71" s="209">
        <f t="shared" si="6"/>
        <v>5565</v>
      </c>
      <c r="M71" s="48">
        <f t="shared" si="7"/>
        <v>9.8131187202211958</v>
      </c>
    </row>
    <row r="72" spans="1:15" ht="15" customHeight="1">
      <c r="A72" s="175">
        <v>731</v>
      </c>
      <c r="B72" s="198">
        <v>44112</v>
      </c>
      <c r="C72" s="44">
        <v>179897</v>
      </c>
      <c r="D72" s="46">
        <f t="shared" si="0"/>
        <v>634</v>
      </c>
      <c r="E72" s="140">
        <v>63.347999999999999</v>
      </c>
      <c r="F72" s="44">
        <v>70000</v>
      </c>
      <c r="G72" s="46">
        <f t="shared" si="2"/>
        <v>1105.0072614762896</v>
      </c>
      <c r="H72" s="46" t="str">
        <f t="shared" si="8"/>
        <v>지에스칼텍스 토당</v>
      </c>
      <c r="I72" s="47">
        <f t="shared" si="3"/>
        <v>578.83299999999997</v>
      </c>
      <c r="J72" s="209">
        <f t="shared" si="4"/>
        <v>640000</v>
      </c>
      <c r="K72" s="46">
        <f t="shared" si="5"/>
        <v>1105.6729661232168</v>
      </c>
      <c r="L72" s="209">
        <f t="shared" si="6"/>
        <v>5583</v>
      </c>
      <c r="M72" s="48">
        <f t="shared" si="7"/>
        <v>9.6452690154155007</v>
      </c>
    </row>
    <row r="73" spans="1:15" ht="15" customHeight="1">
      <c r="A73" s="175">
        <v>713</v>
      </c>
      <c r="B73" s="198">
        <v>44129</v>
      </c>
      <c r="C73" s="44">
        <v>180541</v>
      </c>
      <c r="D73" s="46">
        <f t="shared" si="0"/>
        <v>644</v>
      </c>
      <c r="E73" s="140">
        <v>62.442999999999998</v>
      </c>
      <c r="F73" s="44">
        <v>69000</v>
      </c>
      <c r="G73" s="46">
        <f t="shared" si="2"/>
        <v>1105.0077670835803</v>
      </c>
      <c r="H73" s="46" t="str">
        <f t="shared" si="8"/>
        <v>지에스칼텍스 토당</v>
      </c>
      <c r="I73" s="47">
        <f t="shared" si="3"/>
        <v>589.10199999999998</v>
      </c>
      <c r="J73" s="209">
        <f t="shared" si="4"/>
        <v>655000</v>
      </c>
      <c r="K73" s="46">
        <f t="shared" si="5"/>
        <v>1111.8617828491501</v>
      </c>
      <c r="L73" s="209">
        <f t="shared" si="6"/>
        <v>5716</v>
      </c>
      <c r="M73" s="48">
        <f t="shared" si="7"/>
        <v>9.7029037416270878</v>
      </c>
    </row>
    <row r="74" spans="1:15" ht="15" customHeight="1">
      <c r="A74" s="175">
        <v>701</v>
      </c>
      <c r="B74" s="198">
        <v>44149</v>
      </c>
      <c r="C74" s="44">
        <v>181258</v>
      </c>
      <c r="D74" s="46">
        <f t="shared" si="0"/>
        <v>717</v>
      </c>
      <c r="E74" s="140">
        <v>63.984999999999999</v>
      </c>
      <c r="F74" s="44">
        <v>70000</v>
      </c>
      <c r="G74" s="46">
        <f t="shared" si="2"/>
        <v>1094.0064077518168</v>
      </c>
      <c r="H74" s="46" t="str">
        <f t="shared" si="8"/>
        <v>지에스칼텍스 토당</v>
      </c>
      <c r="I74" s="47">
        <f t="shared" si="3"/>
        <v>596.80600000000004</v>
      </c>
      <c r="J74" s="209">
        <f t="shared" si="4"/>
        <v>669000</v>
      </c>
      <c r="K74" s="46">
        <f t="shared" si="5"/>
        <v>1120.9672825005109</v>
      </c>
      <c r="L74" s="209">
        <f t="shared" si="6"/>
        <v>5866</v>
      </c>
      <c r="M74" s="48">
        <f t="shared" si="7"/>
        <v>9.8289896549297424</v>
      </c>
    </row>
    <row r="75" spans="1:15" ht="15" customHeight="1">
      <c r="A75" s="175">
        <v>695</v>
      </c>
      <c r="B75" s="198">
        <v>44152</v>
      </c>
      <c r="C75" s="44">
        <v>182048</v>
      </c>
      <c r="D75" s="46">
        <f t="shared" ref="D75:D116" si="9">IF(C74&gt;0,IF(C75&gt;0,C75-C74,0),0)</f>
        <v>790</v>
      </c>
      <c r="E75" s="140">
        <v>64.516000000000005</v>
      </c>
      <c r="F75" s="44">
        <v>70000</v>
      </c>
      <c r="G75" s="46">
        <f t="shared" si="2"/>
        <v>1085.0021700043399</v>
      </c>
      <c r="H75" s="46" t="str">
        <f t="shared" si="8"/>
        <v>지에스칼텍스 토당</v>
      </c>
      <c r="I75" s="47">
        <f t="shared" si="3"/>
        <v>606.77699999999993</v>
      </c>
      <c r="J75" s="209">
        <f t="shared" si="4"/>
        <v>682000</v>
      </c>
      <c r="K75" s="46">
        <f t="shared" si="5"/>
        <v>1123.9714095952879</v>
      </c>
      <c r="L75" s="209">
        <f t="shared" si="6"/>
        <v>6070</v>
      </c>
      <c r="M75" s="48">
        <f t="shared" si="7"/>
        <v>10.003675155782108</v>
      </c>
    </row>
    <row r="76" spans="1:15" ht="15" customHeight="1">
      <c r="A76" s="175">
        <v>725</v>
      </c>
      <c r="B76" s="198">
        <v>44173</v>
      </c>
      <c r="C76" s="44">
        <v>182703</v>
      </c>
      <c r="D76" s="46">
        <f t="shared" si="9"/>
        <v>655</v>
      </c>
      <c r="E76" s="140">
        <v>62.222000000000001</v>
      </c>
      <c r="F76" s="44">
        <v>70000</v>
      </c>
      <c r="G76" s="46">
        <f t="shared" si="2"/>
        <v>1125.0040178714924</v>
      </c>
      <c r="H76" s="46" t="str">
        <f t="shared" si="8"/>
        <v>지에스칼텍스 토당</v>
      </c>
      <c r="I76" s="47">
        <f t="shared" si="3"/>
        <v>613.49199999999996</v>
      </c>
      <c r="J76" s="209">
        <f t="shared" si="4"/>
        <v>689000</v>
      </c>
      <c r="K76" s="46">
        <f t="shared" si="5"/>
        <v>1123.0790295553977</v>
      </c>
      <c r="L76" s="209">
        <f t="shared" si="6"/>
        <v>6157</v>
      </c>
      <c r="M76" s="48">
        <f t="shared" si="7"/>
        <v>10.035990689365143</v>
      </c>
      <c r="N76" s="51"/>
    </row>
    <row r="77" spans="1:15" ht="15" customHeight="1">
      <c r="A77" s="175">
        <v>652</v>
      </c>
      <c r="B77" s="198">
        <v>44205</v>
      </c>
      <c r="C77" s="44">
        <v>183200</v>
      </c>
      <c r="D77" s="46">
        <f t="shared" si="9"/>
        <v>497</v>
      </c>
      <c r="E77" s="140">
        <v>55.689</v>
      </c>
      <c r="F77" s="44">
        <v>70000</v>
      </c>
      <c r="G77" s="46">
        <f t="shared" si="2"/>
        <v>1256.9807322810609</v>
      </c>
      <c r="H77" s="46" t="s">
        <v>419</v>
      </c>
      <c r="I77" s="47">
        <f t="shared" si="3"/>
        <v>614.63599999999997</v>
      </c>
      <c r="J77" s="209">
        <f t="shared" si="4"/>
        <v>699000</v>
      </c>
      <c r="K77" s="46">
        <f t="shared" si="5"/>
        <v>1137.2584749347582</v>
      </c>
      <c r="L77" s="209">
        <f t="shared" si="6"/>
        <v>5951</v>
      </c>
      <c r="M77" s="48">
        <f t="shared" si="7"/>
        <v>9.6821533395375479</v>
      </c>
      <c r="N77" s="49"/>
    </row>
    <row r="78" spans="1:15" ht="15" customHeight="1">
      <c r="A78" s="175">
        <v>464</v>
      </c>
      <c r="B78" s="198">
        <v>44254</v>
      </c>
      <c r="C78" s="44">
        <v>183560</v>
      </c>
      <c r="D78" s="46">
        <f t="shared" si="9"/>
        <v>360</v>
      </c>
      <c r="E78" s="140">
        <v>37.57</v>
      </c>
      <c r="F78" s="44">
        <v>60000</v>
      </c>
      <c r="G78" s="46">
        <f t="shared" si="2"/>
        <v>1597.0188980569603</v>
      </c>
      <c r="H78" s="46" t="s">
        <v>426</v>
      </c>
      <c r="I78" s="47">
        <f t="shared" si="3"/>
        <v>591.6</v>
      </c>
      <c r="J78" s="209">
        <f t="shared" si="4"/>
        <v>689000</v>
      </c>
      <c r="K78" s="46">
        <f t="shared" si="5"/>
        <v>1164.6382691007436</v>
      </c>
      <c r="L78" s="209">
        <f t="shared" si="6"/>
        <v>5597</v>
      </c>
      <c r="M78" s="48">
        <f t="shared" si="7"/>
        <v>9.4607843137254903</v>
      </c>
      <c r="N78" s="51"/>
    </row>
    <row r="79" spans="1:15" ht="15" customHeight="1">
      <c r="A79" s="175">
        <v>498</v>
      </c>
      <c r="B79" s="198">
        <v>44295</v>
      </c>
      <c r="C79" s="44">
        <v>183763</v>
      </c>
      <c r="D79" s="46">
        <f t="shared" si="9"/>
        <v>203</v>
      </c>
      <c r="E79" s="140">
        <v>50.542000000000002</v>
      </c>
      <c r="F79" s="44">
        <v>70000</v>
      </c>
      <c r="G79" s="46">
        <f t="shared" si="2"/>
        <v>1384.9867436983102</v>
      </c>
      <c r="H79" s="46" t="str">
        <f t="shared" si="8"/>
        <v>오렌지주유소</v>
      </c>
      <c r="I79" s="47">
        <f t="shared" si="3"/>
        <v>581.53600000000006</v>
      </c>
      <c r="J79" s="209">
        <f t="shared" si="4"/>
        <v>689000</v>
      </c>
      <c r="K79" s="46">
        <f t="shared" si="5"/>
        <v>1184.7933747867714</v>
      </c>
      <c r="L79" s="209">
        <f t="shared" si="6"/>
        <v>5108</v>
      </c>
      <c r="M79" s="48">
        <f t="shared" si="7"/>
        <v>8.7836350630055566</v>
      </c>
      <c r="N79" s="200">
        <v>65</v>
      </c>
    </row>
    <row r="80" spans="1:15" ht="15" customHeight="1">
      <c r="A80" s="175">
        <v>457</v>
      </c>
      <c r="B80" s="198">
        <v>44359</v>
      </c>
      <c r="C80" s="44">
        <v>184013</v>
      </c>
      <c r="D80" s="46">
        <f t="shared" si="9"/>
        <v>250</v>
      </c>
      <c r="E80" s="140">
        <v>49.122999999999998</v>
      </c>
      <c r="F80" s="44">
        <v>70000</v>
      </c>
      <c r="G80" s="46">
        <f t="shared" si="2"/>
        <v>1424.9944018077072</v>
      </c>
      <c r="H80" s="46" t="str">
        <f t="shared" si="8"/>
        <v>오렌지주유소</v>
      </c>
      <c r="I80" s="47">
        <f t="shared" si="3"/>
        <v>570.57300000000009</v>
      </c>
      <c r="J80" s="209">
        <f t="shared" si="4"/>
        <v>689000</v>
      </c>
      <c r="K80" s="46">
        <f t="shared" si="5"/>
        <v>1207.5580162398148</v>
      </c>
      <c r="L80" s="209">
        <f t="shared" si="6"/>
        <v>4750</v>
      </c>
      <c r="M80" s="48">
        <f t="shared" si="7"/>
        <v>8.324964553177244</v>
      </c>
      <c r="N80" s="200">
        <v>85</v>
      </c>
    </row>
    <row r="81" spans="1:14" ht="15" customHeight="1">
      <c r="A81" s="175">
        <v>453</v>
      </c>
      <c r="B81" s="198">
        <v>44414</v>
      </c>
      <c r="C81" s="44">
        <v>184237</v>
      </c>
      <c r="D81" s="46">
        <f t="shared" si="9"/>
        <v>224</v>
      </c>
      <c r="E81" s="140">
        <v>43.259</v>
      </c>
      <c r="F81" s="44">
        <v>60000</v>
      </c>
      <c r="G81" s="46">
        <f t="shared" si="2"/>
        <v>1386.9946138375828</v>
      </c>
      <c r="H81" s="46" t="s">
        <v>433</v>
      </c>
      <c r="I81" s="47">
        <f t="shared" si="3"/>
        <v>552.697</v>
      </c>
      <c r="J81" s="209">
        <f t="shared" si="4"/>
        <v>679000</v>
      </c>
      <c r="K81" s="46">
        <f t="shared" si="5"/>
        <v>1228.5212331530659</v>
      </c>
      <c r="L81" s="209">
        <f t="shared" si="6"/>
        <v>4340</v>
      </c>
      <c r="M81" s="48">
        <f t="shared" si="7"/>
        <v>7.852403758297946</v>
      </c>
      <c r="N81" s="200">
        <v>145</v>
      </c>
    </row>
    <row r="82" spans="1:14" ht="15" customHeight="1">
      <c r="A82" s="175">
        <v>467</v>
      </c>
      <c r="B82" s="198">
        <v>44454</v>
      </c>
      <c r="C82" s="44">
        <v>184485</v>
      </c>
      <c r="D82" s="46">
        <f t="shared" si="9"/>
        <v>248</v>
      </c>
      <c r="E82" s="140">
        <v>42.343000000000004</v>
      </c>
      <c r="F82" s="44">
        <v>60000</v>
      </c>
      <c r="G82" s="46">
        <f>IFERROR(F82/E82,0)</f>
        <v>1416.9992678837116</v>
      </c>
      <c r="H82" s="46" t="str">
        <f t="shared" si="8"/>
        <v>㈜대경유업안곡주유소</v>
      </c>
      <c r="I82" s="47">
        <f t="shared" si="3"/>
        <v>531.69200000000001</v>
      </c>
      <c r="J82" s="209">
        <f t="shared" si="4"/>
        <v>669000</v>
      </c>
      <c r="K82" s="46">
        <f t="shared" si="5"/>
        <v>1258.247255930125</v>
      </c>
      <c r="L82" s="209">
        <f t="shared" si="6"/>
        <v>3944</v>
      </c>
      <c r="M82" s="48">
        <f t="shared" si="7"/>
        <v>7.4178283667988234</v>
      </c>
      <c r="N82" s="200">
        <v>170</v>
      </c>
    </row>
    <row r="83" spans="1:14" ht="15" customHeight="1">
      <c r="A83" s="175">
        <v>455</v>
      </c>
      <c r="B83" s="198">
        <v>44520</v>
      </c>
      <c r="C83" s="44">
        <v>184732</v>
      </c>
      <c r="D83" s="46">
        <f t="shared" si="9"/>
        <v>247</v>
      </c>
      <c r="E83" s="140">
        <v>47.393999999999998</v>
      </c>
      <c r="F83" s="44">
        <v>70000</v>
      </c>
      <c r="G83" s="46">
        <f t="shared" ref="G83:G116" si="10">IFERROR(F83/E83,0)</f>
        <v>1476.9802084652067</v>
      </c>
      <c r="H83" s="46" t="str">
        <f t="shared" si="8"/>
        <v>㈜대경유업안곡주유소</v>
      </c>
      <c r="I83" s="47">
        <f t="shared" si="3"/>
        <v>516.64300000000003</v>
      </c>
      <c r="J83" s="209">
        <f t="shared" si="4"/>
        <v>670000</v>
      </c>
      <c r="K83" s="46">
        <f t="shared" si="5"/>
        <v>1296.8335968937931</v>
      </c>
      <c r="L83" s="209">
        <f t="shared" si="6"/>
        <v>3474</v>
      </c>
      <c r="M83" s="48">
        <f t="shared" si="7"/>
        <v>6.7241789785209516</v>
      </c>
      <c r="N83" s="200">
        <v>114</v>
      </c>
    </row>
    <row r="84" spans="1:14" ht="15" customHeight="1">
      <c r="A84" s="175">
        <v>425</v>
      </c>
      <c r="B84" s="198">
        <v>44569</v>
      </c>
      <c r="C84" s="44">
        <v>184994</v>
      </c>
      <c r="D84" s="46">
        <f t="shared" si="9"/>
        <v>262</v>
      </c>
      <c r="E84" s="140">
        <v>47.17</v>
      </c>
      <c r="F84" s="44">
        <v>70000</v>
      </c>
      <c r="G84" s="46">
        <f t="shared" si="10"/>
        <v>1483.9940640237439</v>
      </c>
      <c r="H84" s="46" t="str">
        <f t="shared" si="8"/>
        <v>㈜대경유업안곡주유소</v>
      </c>
      <c r="I84" s="47">
        <f t="shared" ref="I84:I116" si="11">SUM(E75:E84)</f>
        <v>499.82800000000003</v>
      </c>
      <c r="J84" s="209">
        <f t="shared" ref="J84:J116" si="12">SUM(F75:F84)</f>
        <v>670000</v>
      </c>
      <c r="K84" s="46">
        <f t="shared" ref="K84:K116" si="13">IFERROR(J84/I84,"")</f>
        <v>1340.4611186248069</v>
      </c>
      <c r="L84" s="209">
        <f t="shared" ref="L84:L116" si="14">IF(C84&gt;0,C84-C75,0)</f>
        <v>2946</v>
      </c>
      <c r="M84" s="48">
        <f t="shared" ref="M84:M116" si="15">IF(I84&gt;0,L84/I84,0)</f>
        <v>5.8940275454756437</v>
      </c>
      <c r="N84" s="200">
        <v>114</v>
      </c>
    </row>
    <row r="85" spans="1:14" ht="15" customHeight="1">
      <c r="A85" s="175">
        <v>307</v>
      </c>
      <c r="B85" s="198">
        <v>44626</v>
      </c>
      <c r="C85" s="44">
        <v>185262</v>
      </c>
      <c r="D85" s="46">
        <f t="shared" si="9"/>
        <v>268</v>
      </c>
      <c r="E85" s="140">
        <v>40.533000000000001</v>
      </c>
      <c r="F85" s="44">
        <v>70000</v>
      </c>
      <c r="G85" s="46">
        <f t="shared" si="10"/>
        <v>1726.9878864135396</v>
      </c>
      <c r="H85" s="46" t="str">
        <f t="shared" si="8"/>
        <v>㈜대경유업안곡주유소</v>
      </c>
      <c r="I85" s="47">
        <f t="shared" si="11"/>
        <v>475.84500000000003</v>
      </c>
      <c r="J85" s="209">
        <f t="shared" si="12"/>
        <v>670000</v>
      </c>
      <c r="K85" s="46">
        <f t="shared" si="13"/>
        <v>1408.0215196124789</v>
      </c>
      <c r="L85" s="209">
        <f t="shared" si="14"/>
        <v>2559</v>
      </c>
      <c r="M85" s="48">
        <f t="shared" si="15"/>
        <v>5.377801595057214</v>
      </c>
      <c r="N85" s="200">
        <v>72</v>
      </c>
    </row>
    <row r="86" spans="1:14" ht="15" customHeight="1">
      <c r="A86" s="175">
        <v>324</v>
      </c>
      <c r="B86" s="198">
        <v>44667</v>
      </c>
      <c r="C86" s="44">
        <v>185517</v>
      </c>
      <c r="D86" s="46">
        <f t="shared" si="9"/>
        <v>255</v>
      </c>
      <c r="E86" s="140">
        <v>42.171999999999997</v>
      </c>
      <c r="F86" s="44">
        <v>80000</v>
      </c>
      <c r="G86" s="46">
        <f t="shared" si="10"/>
        <v>1896.993265673907</v>
      </c>
      <c r="H86" s="46" t="str">
        <f t="shared" si="8"/>
        <v>㈜대경유업안곡주유소</v>
      </c>
      <c r="I86" s="47">
        <f t="shared" si="11"/>
        <v>455.79500000000007</v>
      </c>
      <c r="J86" s="209">
        <f t="shared" si="12"/>
        <v>680000</v>
      </c>
      <c r="K86" s="46">
        <f t="shared" si="13"/>
        <v>1491.8987702804986</v>
      </c>
      <c r="L86" s="209">
        <f t="shared" si="14"/>
        <v>2317</v>
      </c>
      <c r="M86" s="48">
        <f t="shared" si="15"/>
        <v>5.0834256628528172</v>
      </c>
      <c r="N86" s="200">
        <v>88</v>
      </c>
    </row>
    <row r="87" spans="1:14" ht="15" customHeight="1">
      <c r="A87" s="175">
        <v>319</v>
      </c>
      <c r="B87" s="198">
        <v>44740</v>
      </c>
      <c r="C87" s="44">
        <v>185744</v>
      </c>
      <c r="D87" s="46">
        <f t="shared" si="9"/>
        <v>227</v>
      </c>
      <c r="E87" s="140">
        <v>45.496000000000002</v>
      </c>
      <c r="F87" s="44">
        <v>100000</v>
      </c>
      <c r="G87" s="46">
        <f t="shared" si="10"/>
        <v>2197.9954281695095</v>
      </c>
      <c r="H87" s="46" t="str">
        <f t="shared" si="8"/>
        <v>㈜대경유업안곡주유소</v>
      </c>
      <c r="I87" s="47">
        <f t="shared" si="11"/>
        <v>445.60199999999998</v>
      </c>
      <c r="J87" s="209">
        <f t="shared" si="12"/>
        <v>710000</v>
      </c>
      <c r="K87" s="46">
        <f t="shared" si="13"/>
        <v>1593.3501196134669</v>
      </c>
      <c r="L87" s="209">
        <f t="shared" si="14"/>
        <v>2184</v>
      </c>
      <c r="M87" s="48">
        <f t="shared" si="15"/>
        <v>4.9012347341349454</v>
      </c>
      <c r="N87" s="200">
        <v>64</v>
      </c>
    </row>
    <row r="88" spans="1:14" ht="15" customHeight="1">
      <c r="A88" s="175">
        <v>309</v>
      </c>
      <c r="B88" s="198">
        <v>44793</v>
      </c>
      <c r="C88" s="44">
        <v>186000</v>
      </c>
      <c r="D88" s="46">
        <f t="shared" si="9"/>
        <v>256</v>
      </c>
      <c r="E88" s="140">
        <v>44.844000000000001</v>
      </c>
      <c r="F88" s="44">
        <v>80000</v>
      </c>
      <c r="G88" s="46">
        <f t="shared" si="10"/>
        <v>1783.962180001784</v>
      </c>
      <c r="H88" s="46" t="str">
        <f t="shared" si="8"/>
        <v>㈜대경유업안곡주유소</v>
      </c>
      <c r="I88" s="47">
        <f t="shared" si="11"/>
        <v>452.87600000000003</v>
      </c>
      <c r="J88" s="209">
        <f t="shared" si="12"/>
        <v>730000</v>
      </c>
      <c r="K88" s="46">
        <f t="shared" si="13"/>
        <v>1611.9202607336224</v>
      </c>
      <c r="L88" s="209">
        <f t="shared" si="14"/>
        <v>2237</v>
      </c>
      <c r="M88" s="48">
        <f t="shared" si="15"/>
        <v>4.9395419496727575</v>
      </c>
      <c r="N88" s="200">
        <v>64</v>
      </c>
    </row>
    <row r="89" spans="1:14" ht="15" customHeight="1">
      <c r="A89" s="175">
        <v>313</v>
      </c>
      <c r="B89" s="198">
        <v>44811</v>
      </c>
      <c r="C89" s="44">
        <v>186238</v>
      </c>
      <c r="D89" s="46">
        <f t="shared" si="9"/>
        <v>238</v>
      </c>
      <c r="E89" s="140">
        <v>27.367999999999999</v>
      </c>
      <c r="F89" s="44">
        <v>50000</v>
      </c>
      <c r="G89" s="46">
        <f t="shared" si="10"/>
        <v>1826.9511838643673</v>
      </c>
      <c r="H89" s="46" t="str">
        <f t="shared" si="8"/>
        <v>㈜대경유업안곡주유소</v>
      </c>
      <c r="I89" s="47">
        <f t="shared" si="11"/>
        <v>429.702</v>
      </c>
      <c r="J89" s="209">
        <f t="shared" si="12"/>
        <v>710000</v>
      </c>
      <c r="K89" s="46">
        <f t="shared" si="13"/>
        <v>1652.307878483228</v>
      </c>
      <c r="L89" s="209">
        <f t="shared" si="14"/>
        <v>2225</v>
      </c>
      <c r="M89" s="48">
        <f t="shared" si="15"/>
        <v>5.1780070839791295</v>
      </c>
      <c r="N89" s="200">
        <v>157</v>
      </c>
    </row>
    <row r="90" spans="1:14" ht="15" customHeight="1">
      <c r="A90" s="175">
        <v>284</v>
      </c>
      <c r="B90" s="198">
        <v>44884</v>
      </c>
      <c r="C90" s="44">
        <v>186462</v>
      </c>
      <c r="D90" s="46">
        <f t="shared" si="9"/>
        <v>224</v>
      </c>
      <c r="E90" s="140">
        <v>37.9</v>
      </c>
      <c r="F90" s="44">
        <v>70000</v>
      </c>
      <c r="G90" s="46">
        <f t="shared" si="10"/>
        <v>1846.9656992084433</v>
      </c>
      <c r="H90" s="46" t="str">
        <f t="shared" si="8"/>
        <v>㈜대경유업안곡주유소</v>
      </c>
      <c r="I90" s="47">
        <f t="shared" si="11"/>
        <v>418.47899999999993</v>
      </c>
      <c r="J90" s="209">
        <f t="shared" si="12"/>
        <v>710000</v>
      </c>
      <c r="K90" s="46">
        <f t="shared" si="13"/>
        <v>1696.6203799951734</v>
      </c>
      <c r="L90" s="209">
        <f t="shared" si="14"/>
        <v>2225</v>
      </c>
      <c r="M90" s="48">
        <f t="shared" si="15"/>
        <v>5.3168737260412122</v>
      </c>
      <c r="N90" s="200">
        <v>74</v>
      </c>
    </row>
    <row r="91" spans="1:14" ht="15" customHeight="1">
      <c r="A91" s="175">
        <v>348</v>
      </c>
      <c r="B91" s="198">
        <v>44933</v>
      </c>
      <c r="C91" s="44">
        <v>186639</v>
      </c>
      <c r="D91" s="46">
        <f t="shared" si="9"/>
        <v>177</v>
      </c>
      <c r="E91" s="140">
        <v>54.055</v>
      </c>
      <c r="F91" s="44">
        <v>90000</v>
      </c>
      <c r="G91" s="46">
        <f t="shared" si="10"/>
        <v>1664.9708630098974</v>
      </c>
      <c r="H91" s="46" t="str">
        <f t="shared" si="8"/>
        <v>㈜대경유업안곡주유소</v>
      </c>
      <c r="I91" s="47">
        <f t="shared" si="11"/>
        <v>429.27499999999998</v>
      </c>
      <c r="J91" s="209">
        <f t="shared" si="12"/>
        <v>740000</v>
      </c>
      <c r="K91" s="46">
        <f t="shared" si="13"/>
        <v>1723.8367014151768</v>
      </c>
      <c r="L91" s="209">
        <f t="shared" si="14"/>
        <v>2154</v>
      </c>
      <c r="M91" s="48">
        <f t="shared" si="15"/>
        <v>5.0177625065517448</v>
      </c>
      <c r="N91" s="200">
        <v>61</v>
      </c>
    </row>
    <row r="92" spans="1:14" ht="15" customHeight="1">
      <c r="A92" s="175">
        <v>719</v>
      </c>
      <c r="B92" s="198">
        <v>44997</v>
      </c>
      <c r="C92" s="44">
        <v>187056</v>
      </c>
      <c r="D92" s="46">
        <f t="shared" si="9"/>
        <v>417</v>
      </c>
      <c r="E92" s="140">
        <v>45.962000000000003</v>
      </c>
      <c r="F92" s="44">
        <v>70000</v>
      </c>
      <c r="G92" s="46">
        <f t="shared" si="10"/>
        <v>1522.9972586049344</v>
      </c>
      <c r="H92" s="46" t="s">
        <v>520</v>
      </c>
      <c r="I92" s="47">
        <f t="shared" si="11"/>
        <v>432.89399999999995</v>
      </c>
      <c r="J92" s="209">
        <f t="shared" si="12"/>
        <v>750000</v>
      </c>
      <c r="K92" s="46">
        <f t="shared" si="13"/>
        <v>1732.5257453325758</v>
      </c>
      <c r="L92" s="209">
        <f t="shared" si="14"/>
        <v>2324</v>
      </c>
      <c r="M92" s="48">
        <f t="shared" si="15"/>
        <v>5.3685197762038754</v>
      </c>
      <c r="N92" s="200">
        <v>201</v>
      </c>
    </row>
    <row r="93" spans="1:14" ht="15" customHeight="1">
      <c r="A93" s="175">
        <v>665</v>
      </c>
      <c r="B93" s="198">
        <v>45004</v>
      </c>
      <c r="C93" s="44">
        <v>187432</v>
      </c>
      <c r="D93" s="46">
        <f t="shared" si="9"/>
        <v>376</v>
      </c>
      <c r="E93" s="140">
        <v>53.908999999999999</v>
      </c>
      <c r="F93" s="44">
        <v>80000</v>
      </c>
      <c r="G93" s="46">
        <f t="shared" si="10"/>
        <v>1483.9822664119165</v>
      </c>
      <c r="H93" s="46" t="s">
        <v>523</v>
      </c>
      <c r="I93" s="47">
        <f t="shared" si="11"/>
        <v>439.40899999999999</v>
      </c>
      <c r="J93" s="209">
        <f t="shared" si="12"/>
        <v>760000</v>
      </c>
      <c r="K93" s="46">
        <f t="shared" si="13"/>
        <v>1729.5958890236659</v>
      </c>
      <c r="L93" s="209">
        <f t="shared" si="14"/>
        <v>2438</v>
      </c>
      <c r="M93" s="48">
        <f t="shared" si="15"/>
        <v>5.5483615492627596</v>
      </c>
      <c r="N93" s="200">
        <v>118</v>
      </c>
    </row>
    <row r="94" spans="1:14" ht="15" customHeight="1">
      <c r="A94" s="175">
        <v>689</v>
      </c>
      <c r="B94" s="198">
        <v>45052</v>
      </c>
      <c r="C94" s="44">
        <v>187909</v>
      </c>
      <c r="D94" s="46">
        <f t="shared" si="9"/>
        <v>477</v>
      </c>
      <c r="E94" s="140">
        <v>51.713000000000001</v>
      </c>
      <c r="F94" s="44">
        <v>80000</v>
      </c>
      <c r="G94" s="46">
        <f t="shared" si="10"/>
        <v>1546.9997872875292</v>
      </c>
      <c r="H94" s="46" t="s">
        <v>524</v>
      </c>
      <c r="I94" s="47">
        <f t="shared" si="11"/>
        <v>443.952</v>
      </c>
      <c r="J94" s="209">
        <f t="shared" si="12"/>
        <v>770000</v>
      </c>
      <c r="K94" s="46">
        <f t="shared" si="13"/>
        <v>1734.4217392871301</v>
      </c>
      <c r="L94" s="209">
        <f t="shared" si="14"/>
        <v>2647</v>
      </c>
      <c r="M94" s="48">
        <f t="shared" si="15"/>
        <v>5.962356290770173</v>
      </c>
      <c r="N94" s="200">
        <v>150</v>
      </c>
    </row>
    <row r="95" spans="1:14" ht="15" customHeight="1">
      <c r="A95" s="175">
        <v>570</v>
      </c>
      <c r="B95" s="198">
        <v>45094</v>
      </c>
      <c r="C95" s="44">
        <v>188328</v>
      </c>
      <c r="D95" s="46">
        <f t="shared" si="9"/>
        <v>419</v>
      </c>
      <c r="E95" s="140">
        <v>39.01</v>
      </c>
      <c r="F95" s="44">
        <v>60000</v>
      </c>
      <c r="G95" s="46">
        <f t="shared" si="10"/>
        <v>1538.0671622660857</v>
      </c>
      <c r="H95" s="46" t="s">
        <v>526</v>
      </c>
      <c r="I95" s="47">
        <f t="shared" si="11"/>
        <v>442.42900000000003</v>
      </c>
      <c r="J95" s="209">
        <f t="shared" si="12"/>
        <v>760000</v>
      </c>
      <c r="K95" s="46">
        <f t="shared" si="13"/>
        <v>1717.7897470554597</v>
      </c>
      <c r="L95" s="209">
        <f t="shared" si="14"/>
        <v>2811</v>
      </c>
      <c r="M95" s="48">
        <f t="shared" si="15"/>
        <v>6.3535618144380228</v>
      </c>
      <c r="N95" s="200">
        <v>247</v>
      </c>
    </row>
    <row r="96" spans="1:14" ht="15" customHeight="1">
      <c r="A96" s="175">
        <v>561</v>
      </c>
      <c r="B96" s="198">
        <v>45157</v>
      </c>
      <c r="C96" s="44">
        <v>188580</v>
      </c>
      <c r="D96" s="46">
        <f t="shared" si="9"/>
        <v>252</v>
      </c>
      <c r="E96" s="140">
        <v>42.502000000000002</v>
      </c>
      <c r="F96" s="44">
        <v>70000</v>
      </c>
      <c r="G96" s="46">
        <f t="shared" si="10"/>
        <v>1646.9813185261869</v>
      </c>
      <c r="H96" s="46" t="s">
        <v>530</v>
      </c>
      <c r="I96" s="47">
        <f t="shared" si="11"/>
        <v>442.75900000000001</v>
      </c>
      <c r="J96" s="209">
        <f t="shared" si="12"/>
        <v>750000</v>
      </c>
      <c r="K96" s="46">
        <f t="shared" si="13"/>
        <v>1693.9237824640493</v>
      </c>
      <c r="L96" s="209">
        <f t="shared" si="14"/>
        <v>2836</v>
      </c>
      <c r="M96" s="48">
        <f t="shared" si="15"/>
        <v>6.4052904627573914</v>
      </c>
      <c r="N96" s="200">
        <v>168</v>
      </c>
    </row>
    <row r="97" spans="1:14" ht="15" customHeight="1">
      <c r="A97" s="175"/>
      <c r="B97" s="198"/>
      <c r="C97" s="44"/>
      <c r="D97" s="46">
        <f t="shared" si="9"/>
        <v>0</v>
      </c>
      <c r="E97" s="140"/>
      <c r="F97" s="44"/>
      <c r="G97" s="46">
        <f t="shared" si="10"/>
        <v>0</v>
      </c>
      <c r="H97" s="46"/>
      <c r="I97" s="47">
        <f t="shared" si="11"/>
        <v>397.26300000000003</v>
      </c>
      <c r="J97" s="209">
        <f t="shared" si="12"/>
        <v>650000</v>
      </c>
      <c r="K97" s="46">
        <f t="shared" si="13"/>
        <v>1636.1956688642031</v>
      </c>
      <c r="L97" s="209">
        <f t="shared" si="14"/>
        <v>0</v>
      </c>
      <c r="M97" s="48">
        <f t="shared" si="15"/>
        <v>0</v>
      </c>
      <c r="N97" s="200"/>
    </row>
    <row r="98" spans="1:14" ht="15" customHeight="1">
      <c r="A98" s="175"/>
      <c r="B98" s="198"/>
      <c r="C98" s="44"/>
      <c r="D98" s="46">
        <f t="shared" si="9"/>
        <v>0</v>
      </c>
      <c r="E98" s="140"/>
      <c r="F98" s="44"/>
      <c r="G98" s="46">
        <f t="shared" si="10"/>
        <v>0</v>
      </c>
      <c r="H98" s="46"/>
      <c r="I98" s="47">
        <f t="shared" si="11"/>
        <v>352.41900000000004</v>
      </c>
      <c r="J98" s="209">
        <f t="shared" si="12"/>
        <v>570000</v>
      </c>
      <c r="K98" s="46">
        <f t="shared" si="13"/>
        <v>1617.3929328441427</v>
      </c>
      <c r="L98" s="209">
        <f t="shared" si="14"/>
        <v>0</v>
      </c>
      <c r="M98" s="48">
        <f t="shared" si="15"/>
        <v>0</v>
      </c>
      <c r="N98" s="200"/>
    </row>
    <row r="99" spans="1:14" ht="15" customHeight="1">
      <c r="A99" s="175"/>
      <c r="B99" s="198"/>
      <c r="C99" s="44"/>
      <c r="D99" s="46">
        <f t="shared" si="9"/>
        <v>0</v>
      </c>
      <c r="E99" s="140"/>
      <c r="F99" s="44"/>
      <c r="G99" s="46">
        <f t="shared" si="10"/>
        <v>0</v>
      </c>
      <c r="H99" s="46"/>
      <c r="I99" s="47">
        <f t="shared" si="11"/>
        <v>325.05099999999999</v>
      </c>
      <c r="J99" s="209">
        <f t="shared" si="12"/>
        <v>520000</v>
      </c>
      <c r="K99" s="46">
        <f t="shared" si="13"/>
        <v>1599.7489624705047</v>
      </c>
      <c r="L99" s="209">
        <f t="shared" si="14"/>
        <v>0</v>
      </c>
      <c r="M99" s="48">
        <f t="shared" si="15"/>
        <v>0</v>
      </c>
      <c r="N99" s="200"/>
    </row>
    <row r="100" spans="1:14" ht="15" customHeight="1">
      <c r="A100" s="175"/>
      <c r="B100" s="198"/>
      <c r="C100" s="44"/>
      <c r="D100" s="46">
        <f t="shared" si="9"/>
        <v>0</v>
      </c>
      <c r="E100" s="140"/>
      <c r="F100" s="44"/>
      <c r="G100" s="46">
        <f t="shared" si="10"/>
        <v>0</v>
      </c>
      <c r="H100" s="46"/>
      <c r="I100" s="47">
        <f t="shared" si="11"/>
        <v>287.15099999999995</v>
      </c>
      <c r="J100" s="209">
        <f t="shared" si="12"/>
        <v>450000</v>
      </c>
      <c r="K100" s="46">
        <f t="shared" si="13"/>
        <v>1567.1197383954786</v>
      </c>
      <c r="L100" s="209">
        <f t="shared" si="14"/>
        <v>0</v>
      </c>
      <c r="M100" s="48">
        <f t="shared" si="15"/>
        <v>0</v>
      </c>
      <c r="N100" s="200"/>
    </row>
    <row r="101" spans="1:14" ht="15" customHeight="1">
      <c r="A101" s="175"/>
      <c r="B101" s="198"/>
      <c r="C101" s="44"/>
      <c r="D101" s="46">
        <f t="shared" si="9"/>
        <v>0</v>
      </c>
      <c r="E101" s="140"/>
      <c r="F101" s="44"/>
      <c r="G101" s="46">
        <f t="shared" si="10"/>
        <v>0</v>
      </c>
      <c r="H101" s="46"/>
      <c r="I101" s="47">
        <f t="shared" si="11"/>
        <v>233.096</v>
      </c>
      <c r="J101" s="209">
        <f t="shared" si="12"/>
        <v>360000</v>
      </c>
      <c r="K101" s="46">
        <f t="shared" si="13"/>
        <v>1544.4280468133302</v>
      </c>
      <c r="L101" s="209">
        <f t="shared" si="14"/>
        <v>0</v>
      </c>
      <c r="M101" s="48">
        <f t="shared" si="15"/>
        <v>0</v>
      </c>
      <c r="N101" s="200"/>
    </row>
    <row r="102" spans="1:14" ht="15" customHeight="1">
      <c r="A102" s="175"/>
      <c r="B102" s="198"/>
      <c r="C102" s="44"/>
      <c r="D102" s="46">
        <f t="shared" si="9"/>
        <v>0</v>
      </c>
      <c r="E102" s="140"/>
      <c r="F102" s="44"/>
      <c r="G102" s="46">
        <f t="shared" si="10"/>
        <v>0</v>
      </c>
      <c r="H102" s="46"/>
      <c r="I102" s="47">
        <f t="shared" si="11"/>
        <v>187.13400000000001</v>
      </c>
      <c r="J102" s="209">
        <f t="shared" si="12"/>
        <v>290000</v>
      </c>
      <c r="K102" s="46">
        <f t="shared" si="13"/>
        <v>1549.691664796349</v>
      </c>
      <c r="L102" s="209">
        <f t="shared" si="14"/>
        <v>0</v>
      </c>
      <c r="M102" s="48">
        <f t="shared" si="15"/>
        <v>0</v>
      </c>
      <c r="N102" s="200"/>
    </row>
    <row r="103" spans="1:14" ht="15" customHeight="1">
      <c r="A103" s="175"/>
      <c r="B103" s="198"/>
      <c r="C103" s="44"/>
      <c r="D103" s="46">
        <f t="shared" si="9"/>
        <v>0</v>
      </c>
      <c r="E103" s="140"/>
      <c r="F103" s="44"/>
      <c r="G103" s="46">
        <f t="shared" si="10"/>
        <v>0</v>
      </c>
      <c r="H103" s="46"/>
      <c r="I103" s="47">
        <f t="shared" si="11"/>
        <v>133.22499999999999</v>
      </c>
      <c r="J103" s="209">
        <f t="shared" si="12"/>
        <v>210000</v>
      </c>
      <c r="K103" s="46">
        <f t="shared" si="13"/>
        <v>1576.2807280915745</v>
      </c>
      <c r="L103" s="209">
        <f t="shared" si="14"/>
        <v>0</v>
      </c>
      <c r="M103" s="48">
        <f t="shared" si="15"/>
        <v>0</v>
      </c>
      <c r="N103" s="200"/>
    </row>
    <row r="104" spans="1:14" ht="15" customHeight="1">
      <c r="A104" s="175"/>
      <c r="B104" s="198"/>
      <c r="C104" s="44"/>
      <c r="D104" s="46">
        <f t="shared" si="9"/>
        <v>0</v>
      </c>
      <c r="E104" s="140"/>
      <c r="F104" s="44"/>
      <c r="G104" s="46">
        <f t="shared" si="10"/>
        <v>0</v>
      </c>
      <c r="H104" s="46"/>
      <c r="I104" s="47">
        <f t="shared" si="11"/>
        <v>81.512</v>
      </c>
      <c r="J104" s="209">
        <f t="shared" si="12"/>
        <v>130000</v>
      </c>
      <c r="K104" s="46">
        <f t="shared" si="13"/>
        <v>1594.8571989400334</v>
      </c>
      <c r="L104" s="209">
        <f t="shared" si="14"/>
        <v>0</v>
      </c>
      <c r="M104" s="48">
        <f t="shared" si="15"/>
        <v>0</v>
      </c>
      <c r="N104" s="200"/>
    </row>
    <row r="105" spans="1:14" ht="15" customHeight="1">
      <c r="A105" s="175"/>
      <c r="B105" s="198"/>
      <c r="C105" s="44"/>
      <c r="D105" s="46">
        <f t="shared" si="9"/>
        <v>0</v>
      </c>
      <c r="E105" s="140"/>
      <c r="F105" s="44"/>
      <c r="G105" s="46">
        <f t="shared" si="10"/>
        <v>0</v>
      </c>
      <c r="H105" s="46"/>
      <c r="I105" s="47">
        <f t="shared" si="11"/>
        <v>42.502000000000002</v>
      </c>
      <c r="J105" s="209">
        <f t="shared" si="12"/>
        <v>70000</v>
      </c>
      <c r="K105" s="46">
        <f t="shared" si="13"/>
        <v>1646.9813185261869</v>
      </c>
      <c r="L105" s="209">
        <f t="shared" si="14"/>
        <v>0</v>
      </c>
      <c r="M105" s="48">
        <f t="shared" si="15"/>
        <v>0</v>
      </c>
      <c r="N105" s="200"/>
    </row>
    <row r="106" spans="1:14" ht="15" customHeight="1">
      <c r="A106" s="175"/>
      <c r="B106" s="198"/>
      <c r="C106" s="44"/>
      <c r="D106" s="46">
        <f t="shared" si="9"/>
        <v>0</v>
      </c>
      <c r="E106" s="140"/>
      <c r="F106" s="44"/>
      <c r="G106" s="46">
        <f t="shared" si="10"/>
        <v>0</v>
      </c>
      <c r="H106" s="46"/>
      <c r="I106" s="47">
        <f t="shared" si="11"/>
        <v>0</v>
      </c>
      <c r="J106" s="209">
        <f t="shared" si="12"/>
        <v>0</v>
      </c>
      <c r="K106" s="46" t="str">
        <f t="shared" si="13"/>
        <v/>
      </c>
      <c r="L106" s="209">
        <f t="shared" si="14"/>
        <v>0</v>
      </c>
      <c r="M106" s="48">
        <f t="shared" si="15"/>
        <v>0</v>
      </c>
      <c r="N106" s="200"/>
    </row>
    <row r="107" spans="1:14" ht="15" customHeight="1">
      <c r="A107" s="175"/>
      <c r="B107" s="198"/>
      <c r="C107" s="44"/>
      <c r="D107" s="46">
        <f t="shared" si="9"/>
        <v>0</v>
      </c>
      <c r="E107" s="140"/>
      <c r="F107" s="44"/>
      <c r="G107" s="46">
        <f t="shared" si="10"/>
        <v>0</v>
      </c>
      <c r="H107" s="46"/>
      <c r="I107" s="47">
        <f t="shared" si="11"/>
        <v>0</v>
      </c>
      <c r="J107" s="209">
        <f t="shared" si="12"/>
        <v>0</v>
      </c>
      <c r="K107" s="46" t="str">
        <f t="shared" si="13"/>
        <v/>
      </c>
      <c r="L107" s="209">
        <f t="shared" si="14"/>
        <v>0</v>
      </c>
      <c r="M107" s="48">
        <f t="shared" si="15"/>
        <v>0</v>
      </c>
      <c r="N107" s="200"/>
    </row>
    <row r="108" spans="1:14" ht="15" customHeight="1">
      <c r="A108" s="175"/>
      <c r="B108" s="198"/>
      <c r="C108" s="44"/>
      <c r="D108" s="46">
        <f t="shared" si="9"/>
        <v>0</v>
      </c>
      <c r="E108" s="140"/>
      <c r="F108" s="44"/>
      <c r="G108" s="46">
        <f t="shared" si="10"/>
        <v>0</v>
      </c>
      <c r="H108" s="46"/>
      <c r="I108" s="47">
        <f t="shared" si="11"/>
        <v>0</v>
      </c>
      <c r="J108" s="209">
        <f t="shared" si="12"/>
        <v>0</v>
      </c>
      <c r="K108" s="46" t="str">
        <f t="shared" si="13"/>
        <v/>
      </c>
      <c r="L108" s="209">
        <f t="shared" si="14"/>
        <v>0</v>
      </c>
      <c r="M108" s="48">
        <f t="shared" si="15"/>
        <v>0</v>
      </c>
      <c r="N108" s="200"/>
    </row>
    <row r="109" spans="1:14" ht="15" customHeight="1">
      <c r="A109" s="175"/>
      <c r="B109" s="198"/>
      <c r="C109" s="44"/>
      <c r="D109" s="46">
        <f t="shared" si="9"/>
        <v>0</v>
      </c>
      <c r="E109" s="140"/>
      <c r="F109" s="44"/>
      <c r="G109" s="46">
        <f t="shared" si="10"/>
        <v>0</v>
      </c>
      <c r="H109" s="46"/>
      <c r="I109" s="47">
        <f t="shared" si="11"/>
        <v>0</v>
      </c>
      <c r="J109" s="209">
        <f t="shared" si="12"/>
        <v>0</v>
      </c>
      <c r="K109" s="46" t="str">
        <f t="shared" si="13"/>
        <v/>
      </c>
      <c r="L109" s="209">
        <f t="shared" si="14"/>
        <v>0</v>
      </c>
      <c r="M109" s="48">
        <f t="shared" si="15"/>
        <v>0</v>
      </c>
      <c r="N109" s="200"/>
    </row>
    <row r="110" spans="1:14" ht="15" customHeight="1">
      <c r="A110" s="175"/>
      <c r="B110" s="198"/>
      <c r="C110" s="44"/>
      <c r="D110" s="46">
        <f t="shared" si="9"/>
        <v>0</v>
      </c>
      <c r="E110" s="140"/>
      <c r="F110" s="44"/>
      <c r="G110" s="46">
        <f t="shared" si="10"/>
        <v>0</v>
      </c>
      <c r="H110" s="46"/>
      <c r="I110" s="47">
        <f t="shared" si="11"/>
        <v>0</v>
      </c>
      <c r="J110" s="209">
        <f t="shared" si="12"/>
        <v>0</v>
      </c>
      <c r="K110" s="46" t="str">
        <f t="shared" si="13"/>
        <v/>
      </c>
      <c r="L110" s="209">
        <f t="shared" si="14"/>
        <v>0</v>
      </c>
      <c r="M110" s="48">
        <f t="shared" si="15"/>
        <v>0</v>
      </c>
      <c r="N110" s="200"/>
    </row>
    <row r="111" spans="1:14" ht="15" customHeight="1">
      <c r="A111" s="175"/>
      <c r="B111" s="198"/>
      <c r="C111" s="44"/>
      <c r="D111" s="46">
        <f t="shared" si="9"/>
        <v>0</v>
      </c>
      <c r="E111" s="140"/>
      <c r="F111" s="44"/>
      <c r="G111" s="46">
        <f t="shared" si="10"/>
        <v>0</v>
      </c>
      <c r="H111" s="46"/>
      <c r="I111" s="47">
        <f t="shared" si="11"/>
        <v>0</v>
      </c>
      <c r="J111" s="209">
        <f t="shared" si="12"/>
        <v>0</v>
      </c>
      <c r="K111" s="46" t="str">
        <f t="shared" si="13"/>
        <v/>
      </c>
      <c r="L111" s="209">
        <f t="shared" si="14"/>
        <v>0</v>
      </c>
      <c r="M111" s="48">
        <f t="shared" si="15"/>
        <v>0</v>
      </c>
      <c r="N111" s="200"/>
    </row>
    <row r="112" spans="1:14" ht="15" customHeight="1">
      <c r="A112" s="175"/>
      <c r="B112" s="198"/>
      <c r="C112" s="44"/>
      <c r="D112" s="46">
        <f t="shared" si="9"/>
        <v>0</v>
      </c>
      <c r="E112" s="140"/>
      <c r="F112" s="44"/>
      <c r="G112" s="46">
        <f t="shared" si="10"/>
        <v>0</v>
      </c>
      <c r="H112" s="46"/>
      <c r="I112" s="47">
        <f t="shared" si="11"/>
        <v>0</v>
      </c>
      <c r="J112" s="209">
        <f t="shared" si="12"/>
        <v>0</v>
      </c>
      <c r="K112" s="46" t="str">
        <f t="shared" si="13"/>
        <v/>
      </c>
      <c r="L112" s="209">
        <f t="shared" si="14"/>
        <v>0</v>
      </c>
      <c r="M112" s="48">
        <f t="shared" si="15"/>
        <v>0</v>
      </c>
      <c r="N112" s="200"/>
    </row>
    <row r="113" spans="1:17" ht="15" customHeight="1">
      <c r="A113" s="175"/>
      <c r="B113" s="198"/>
      <c r="C113" s="44"/>
      <c r="D113" s="46">
        <f t="shared" si="9"/>
        <v>0</v>
      </c>
      <c r="E113" s="140"/>
      <c r="F113" s="44"/>
      <c r="G113" s="46">
        <f t="shared" si="10"/>
        <v>0</v>
      </c>
      <c r="H113" s="46"/>
      <c r="I113" s="47">
        <f t="shared" si="11"/>
        <v>0</v>
      </c>
      <c r="J113" s="209">
        <f t="shared" si="12"/>
        <v>0</v>
      </c>
      <c r="K113" s="46" t="str">
        <f t="shared" si="13"/>
        <v/>
      </c>
      <c r="L113" s="209">
        <f t="shared" si="14"/>
        <v>0</v>
      </c>
      <c r="M113" s="48">
        <f t="shared" si="15"/>
        <v>0</v>
      </c>
      <c r="N113" s="200"/>
    </row>
    <row r="114" spans="1:17" ht="15" customHeight="1">
      <c r="A114" s="175"/>
      <c r="B114" s="198"/>
      <c r="C114" s="44"/>
      <c r="D114" s="46">
        <f t="shared" si="9"/>
        <v>0</v>
      </c>
      <c r="E114" s="140"/>
      <c r="F114" s="44"/>
      <c r="G114" s="46">
        <f t="shared" si="10"/>
        <v>0</v>
      </c>
      <c r="H114" s="46"/>
      <c r="I114" s="47">
        <f t="shared" si="11"/>
        <v>0</v>
      </c>
      <c r="J114" s="209">
        <f t="shared" si="12"/>
        <v>0</v>
      </c>
      <c r="K114" s="46" t="str">
        <f t="shared" si="13"/>
        <v/>
      </c>
      <c r="L114" s="209">
        <f t="shared" si="14"/>
        <v>0</v>
      </c>
      <c r="M114" s="48">
        <f t="shared" si="15"/>
        <v>0</v>
      </c>
      <c r="N114" s="200"/>
    </row>
    <row r="115" spans="1:17" ht="15" customHeight="1">
      <c r="A115" s="175"/>
      <c r="B115" s="198"/>
      <c r="C115" s="44"/>
      <c r="D115" s="46">
        <f t="shared" si="9"/>
        <v>0</v>
      </c>
      <c r="E115" s="140"/>
      <c r="F115" s="44"/>
      <c r="G115" s="46">
        <f t="shared" si="10"/>
        <v>0</v>
      </c>
      <c r="H115" s="46"/>
      <c r="I115" s="47">
        <f t="shared" si="11"/>
        <v>0</v>
      </c>
      <c r="J115" s="209">
        <f t="shared" si="12"/>
        <v>0</v>
      </c>
      <c r="K115" s="46" t="str">
        <f t="shared" si="13"/>
        <v/>
      </c>
      <c r="L115" s="209">
        <f t="shared" si="14"/>
        <v>0</v>
      </c>
      <c r="M115" s="48">
        <f t="shared" si="15"/>
        <v>0</v>
      </c>
      <c r="N115" s="200"/>
    </row>
    <row r="116" spans="1:17" ht="15" customHeight="1">
      <c r="A116" s="175"/>
      <c r="B116" s="198"/>
      <c r="C116" s="44"/>
      <c r="D116" s="46">
        <f t="shared" si="9"/>
        <v>0</v>
      </c>
      <c r="E116" s="140"/>
      <c r="F116" s="44"/>
      <c r="G116" s="46">
        <f t="shared" si="10"/>
        <v>0</v>
      </c>
      <c r="H116" s="46"/>
      <c r="I116" s="47">
        <f t="shared" si="11"/>
        <v>0</v>
      </c>
      <c r="J116" s="209">
        <f t="shared" si="12"/>
        <v>0</v>
      </c>
      <c r="K116" s="46" t="str">
        <f t="shared" si="13"/>
        <v/>
      </c>
      <c r="L116" s="209">
        <f t="shared" si="14"/>
        <v>0</v>
      </c>
      <c r="M116" s="48">
        <f t="shared" si="15"/>
        <v>0</v>
      </c>
      <c r="N116" s="200"/>
    </row>
    <row r="117" spans="1:17" ht="15" customHeight="1">
      <c r="A117" s="175"/>
      <c r="B117" s="198"/>
      <c r="C117" s="44"/>
      <c r="D117" s="46"/>
      <c r="E117" s="140"/>
      <c r="F117" s="44"/>
      <c r="G117" s="46"/>
      <c r="H117" s="46"/>
      <c r="I117" s="47"/>
      <c r="J117" s="47"/>
      <c r="K117" s="47"/>
      <c r="L117" s="47"/>
      <c r="M117" s="44"/>
      <c r="N117" s="200"/>
    </row>
    <row r="118" spans="1:17" ht="15" customHeight="1">
      <c r="A118" s="175"/>
      <c r="B118" s="198"/>
      <c r="C118" s="44"/>
      <c r="D118" s="46" t="str">
        <f>IF(C27&gt;0,IF(C118&gt;0,C118-C27,""),"")</f>
        <v/>
      </c>
      <c r="E118" s="140"/>
      <c r="F118" s="44"/>
      <c r="G118" s="46" t="str">
        <f t="shared" si="2"/>
        <v/>
      </c>
      <c r="H118" s="44"/>
      <c r="I118" s="47" t="str">
        <f>IFERROR(D118/E118,"")</f>
        <v/>
      </c>
      <c r="J118" s="47"/>
      <c r="K118" s="47"/>
      <c r="L118" s="47"/>
      <c r="M118" s="44"/>
      <c r="N118" s="200"/>
    </row>
    <row r="119" spans="1:17" ht="22.5" customHeight="1">
      <c r="A119" s="175"/>
      <c r="B119" s="42" t="s">
        <v>105</v>
      </c>
      <c r="C119" s="52">
        <f>MAX(C9:C118)</f>
        <v>188580</v>
      </c>
      <c r="D119" s="52">
        <f>SUM(D9:D118)</f>
        <v>43506</v>
      </c>
      <c r="E119" s="54">
        <f>SUM(E9:E118)</f>
        <v>4604.8990000000003</v>
      </c>
      <c r="F119" s="52">
        <f>SUM(F9:F118)</f>
        <v>6140899</v>
      </c>
      <c r="G119" s="53">
        <f>IFERROR(F119/E119,"")</f>
        <v>1333.5578044165572</v>
      </c>
      <c r="H119" s="52"/>
      <c r="I119" s="54">
        <f>IFERROR(D119/E119,"")</f>
        <v>9.4477642180642825</v>
      </c>
      <c r="J119" s="55"/>
      <c r="K119" s="55"/>
      <c r="L119" s="55"/>
      <c r="M119" s="47"/>
      <c r="N119" s="2"/>
      <c r="Q119" s="34"/>
    </row>
  </sheetData>
  <mergeCells count="1">
    <mergeCell ref="B2:E5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O90"/>
  <sheetViews>
    <sheetView workbookViewId="0">
      <pane xSplit="2" ySplit="5" topLeftCell="C69" activePane="bottomRight" state="frozen"/>
      <selection pane="topRight" activeCell="C1" sqref="C1"/>
      <selection pane="bottomLeft" activeCell="A6" sqref="A6"/>
      <selection pane="bottomRight" activeCell="C88" sqref="C88"/>
    </sheetView>
  </sheetViews>
  <sheetFormatPr defaultColWidth="10.28515625" defaultRowHeight="13.5"/>
  <cols>
    <col min="1" max="1" width="2.28515625" customWidth="1"/>
    <col min="3" max="3" width="39.28515625" bestFit="1" customWidth="1"/>
    <col min="4" max="4" width="9.140625" bestFit="1" customWidth="1"/>
    <col min="5" max="5" width="5.42578125" bestFit="1" customWidth="1"/>
    <col min="6" max="6" width="11.28515625" bestFit="1" customWidth="1"/>
    <col min="7" max="7" width="11.85546875" bestFit="1" customWidth="1"/>
    <col min="8" max="8" width="9.7109375" bestFit="1" customWidth="1"/>
    <col min="9" max="10" width="11.85546875" bestFit="1" customWidth="1"/>
    <col min="11" max="11" width="10.7109375" bestFit="1" customWidth="1"/>
    <col min="12" max="12" width="20" bestFit="1" customWidth="1"/>
  </cols>
  <sheetData>
    <row r="1" spans="2:13" ht="12" customHeight="1"/>
    <row r="2" spans="2:13" ht="31.5">
      <c r="B2" s="162" t="s">
        <v>106</v>
      </c>
      <c r="C2" s="162"/>
      <c r="D2" s="56"/>
      <c r="E2" s="56"/>
    </row>
    <row r="3" spans="2:13" ht="19.5" customHeight="1">
      <c r="G3" s="34">
        <f>SUM(G6:G89)</f>
        <v>3387670</v>
      </c>
      <c r="H3" s="34">
        <f>SUM(H6:H89)</f>
        <v>359400</v>
      </c>
      <c r="I3" s="34">
        <f>SUM(I6:I89)</f>
        <v>3889070</v>
      </c>
      <c r="J3" s="34">
        <f>SUM(J6:J89)</f>
        <v>3769070</v>
      </c>
    </row>
    <row r="4" spans="2:13" ht="22.5" customHeight="1">
      <c r="B4" s="168" t="s">
        <v>107</v>
      </c>
      <c r="C4" s="170" t="s">
        <v>108</v>
      </c>
      <c r="D4" s="172" t="s">
        <v>109</v>
      </c>
      <c r="E4" s="172"/>
      <c r="F4" s="172"/>
      <c r="G4" s="172"/>
      <c r="H4" s="172" t="s">
        <v>110</v>
      </c>
      <c r="I4" s="170" t="s">
        <v>77</v>
      </c>
      <c r="J4" s="164" t="s">
        <v>242</v>
      </c>
      <c r="K4" s="163" t="s">
        <v>111</v>
      </c>
      <c r="L4" s="164" t="s">
        <v>112</v>
      </c>
      <c r="M4" s="166" t="s">
        <v>78</v>
      </c>
    </row>
    <row r="5" spans="2:13" ht="22.5" customHeight="1">
      <c r="B5" s="169"/>
      <c r="C5" s="171"/>
      <c r="D5" s="57" t="s">
        <v>5</v>
      </c>
      <c r="E5" s="57" t="s">
        <v>113</v>
      </c>
      <c r="F5" s="58" t="s">
        <v>114</v>
      </c>
      <c r="G5" s="57" t="s">
        <v>115</v>
      </c>
      <c r="H5" s="173"/>
      <c r="I5" s="171"/>
      <c r="J5" s="165"/>
      <c r="K5" s="202">
        <f>MAX(주유!C119,K90)</f>
        <v>188580</v>
      </c>
      <c r="L5" s="165"/>
      <c r="M5" s="167"/>
    </row>
    <row r="6" spans="2:13" ht="15" customHeight="1">
      <c r="B6" s="59">
        <v>42145</v>
      </c>
      <c r="C6" s="60" t="s">
        <v>116</v>
      </c>
      <c r="D6" s="61"/>
      <c r="E6" s="62">
        <v>1</v>
      </c>
      <c r="F6" s="62"/>
      <c r="G6" s="62">
        <f t="shared" ref="G6:G13" si="0">E6*F6</f>
        <v>0</v>
      </c>
      <c r="H6" s="62">
        <v>25000</v>
      </c>
      <c r="I6" s="62">
        <f>SUM(G6:H6)</f>
        <v>25000</v>
      </c>
      <c r="J6" s="63"/>
      <c r="K6" s="63"/>
      <c r="L6" s="63"/>
      <c r="M6" s="64"/>
    </row>
    <row r="7" spans="2:13" ht="15" customHeight="1">
      <c r="B7" s="65">
        <v>42091</v>
      </c>
      <c r="C7" s="66" t="s">
        <v>117</v>
      </c>
      <c r="D7" s="67"/>
      <c r="E7" s="68">
        <v>1</v>
      </c>
      <c r="F7" s="68">
        <v>120000</v>
      </c>
      <c r="G7" s="68">
        <f t="shared" si="0"/>
        <v>120000</v>
      </c>
      <c r="H7" s="68"/>
      <c r="I7" s="68">
        <f>SUM(G7:H7)</f>
        <v>120000</v>
      </c>
      <c r="J7" s="80"/>
      <c r="K7" s="69"/>
      <c r="L7" s="69"/>
      <c r="M7" s="70"/>
    </row>
    <row r="8" spans="2:13" ht="15" customHeight="1">
      <c r="B8" s="65">
        <v>42104</v>
      </c>
      <c r="C8" s="66" t="s">
        <v>118</v>
      </c>
      <c r="D8" s="67"/>
      <c r="E8" s="68">
        <v>1</v>
      </c>
      <c r="F8" s="68">
        <v>10000</v>
      </c>
      <c r="G8" s="68">
        <f t="shared" si="0"/>
        <v>10000</v>
      </c>
      <c r="H8" s="68"/>
      <c r="I8" s="68">
        <f t="shared" ref="I8:I35" si="1">SUM(G8:H8)</f>
        <v>10000</v>
      </c>
      <c r="J8" s="80"/>
      <c r="K8" s="69"/>
      <c r="L8" s="69"/>
      <c r="M8" s="70"/>
    </row>
    <row r="9" spans="2:13" ht="15" customHeight="1">
      <c r="B9" s="71"/>
      <c r="C9" s="72" t="s">
        <v>121</v>
      </c>
      <c r="D9" s="73"/>
      <c r="E9" s="74"/>
      <c r="F9" s="74"/>
      <c r="G9" s="74"/>
      <c r="H9" s="74"/>
      <c r="I9" s="74"/>
      <c r="J9" s="88">
        <f>SUM(I6:I8)</f>
        <v>155000</v>
      </c>
      <c r="K9" s="75"/>
      <c r="L9" s="75"/>
      <c r="M9" s="76"/>
    </row>
    <row r="10" spans="2:13" ht="15" customHeight="1">
      <c r="B10" s="65">
        <v>42254</v>
      </c>
      <c r="C10" s="66" t="s">
        <v>119</v>
      </c>
      <c r="D10" s="67"/>
      <c r="E10" s="68">
        <v>1</v>
      </c>
      <c r="F10" s="68">
        <v>75000</v>
      </c>
      <c r="G10" s="68">
        <f t="shared" si="0"/>
        <v>75000</v>
      </c>
      <c r="H10" s="68"/>
      <c r="I10" s="68">
        <f t="shared" si="1"/>
        <v>75000</v>
      </c>
      <c r="J10" s="80"/>
      <c r="K10" s="69"/>
      <c r="L10" s="69"/>
      <c r="M10" s="70"/>
    </row>
    <row r="11" spans="2:13" ht="15" customHeight="1">
      <c r="B11" s="65">
        <v>42254</v>
      </c>
      <c r="C11" s="66" t="s">
        <v>120</v>
      </c>
      <c r="D11" s="67"/>
      <c r="E11" s="68">
        <v>1</v>
      </c>
      <c r="F11" s="68"/>
      <c r="G11" s="68">
        <f t="shared" si="0"/>
        <v>0</v>
      </c>
      <c r="H11" s="68">
        <v>55000</v>
      </c>
      <c r="I11" s="68">
        <f t="shared" si="1"/>
        <v>55000</v>
      </c>
      <c r="J11" s="80"/>
      <c r="K11" s="69"/>
      <c r="L11" s="69"/>
      <c r="M11" s="70"/>
    </row>
    <row r="12" spans="2:13" ht="15" customHeight="1">
      <c r="B12" s="71">
        <v>42254</v>
      </c>
      <c r="C12" s="72" t="s">
        <v>121</v>
      </c>
      <c r="D12" s="73"/>
      <c r="E12" s="74"/>
      <c r="F12" s="74"/>
      <c r="G12" s="74"/>
      <c r="H12" s="74"/>
      <c r="I12" s="74"/>
      <c r="J12" s="88">
        <f>SUM(I10:I11)</f>
        <v>130000</v>
      </c>
      <c r="K12" s="75"/>
      <c r="L12" s="75"/>
      <c r="M12" s="76"/>
    </row>
    <row r="13" spans="2:13" ht="15" customHeight="1">
      <c r="B13" s="65">
        <v>42304</v>
      </c>
      <c r="C13" s="66" t="s">
        <v>122</v>
      </c>
      <c r="D13" s="67"/>
      <c r="E13" s="68">
        <v>1</v>
      </c>
      <c r="F13" s="68"/>
      <c r="G13" s="68">
        <f t="shared" si="0"/>
        <v>0</v>
      </c>
      <c r="H13" s="68">
        <v>11000</v>
      </c>
      <c r="I13" s="68">
        <f t="shared" si="1"/>
        <v>11000</v>
      </c>
      <c r="J13" s="80"/>
      <c r="K13" s="69">
        <v>134603</v>
      </c>
      <c r="L13" s="69" t="s">
        <v>123</v>
      </c>
      <c r="M13" s="70"/>
    </row>
    <row r="14" spans="2:13" ht="15" customHeight="1">
      <c r="B14" s="77">
        <v>42304</v>
      </c>
      <c r="C14" s="78" t="s">
        <v>124</v>
      </c>
      <c r="D14" s="79" t="s">
        <v>125</v>
      </c>
      <c r="E14" s="80">
        <v>1</v>
      </c>
      <c r="F14" s="80">
        <v>8800</v>
      </c>
      <c r="G14" s="80">
        <f>E14*F14</f>
        <v>8800</v>
      </c>
      <c r="H14" s="80"/>
      <c r="I14" s="68">
        <f t="shared" si="1"/>
        <v>8800</v>
      </c>
      <c r="J14" s="80"/>
      <c r="K14" s="81"/>
      <c r="L14" s="81" t="s">
        <v>123</v>
      </c>
      <c r="M14" s="82"/>
    </row>
    <row r="15" spans="2:13" ht="15" customHeight="1">
      <c r="B15" s="77">
        <v>42304</v>
      </c>
      <c r="C15" s="78" t="s">
        <v>126</v>
      </c>
      <c r="D15" s="79" t="s">
        <v>125</v>
      </c>
      <c r="E15" s="80">
        <v>1</v>
      </c>
      <c r="F15" s="83">
        <v>6050</v>
      </c>
      <c r="G15" s="80">
        <f>E15*F15</f>
        <v>6050</v>
      </c>
      <c r="H15" s="80"/>
      <c r="I15" s="68">
        <f t="shared" si="1"/>
        <v>6050</v>
      </c>
      <c r="J15" s="80"/>
      <c r="K15" s="81"/>
      <c r="L15" s="81" t="s">
        <v>123</v>
      </c>
      <c r="M15" s="82"/>
    </row>
    <row r="16" spans="2:13" ht="15" customHeight="1">
      <c r="B16" s="77">
        <v>42304</v>
      </c>
      <c r="C16" s="78" t="s">
        <v>127</v>
      </c>
      <c r="D16" s="79" t="s">
        <v>125</v>
      </c>
      <c r="E16" s="80">
        <v>6</v>
      </c>
      <c r="F16" s="83">
        <v>5940</v>
      </c>
      <c r="G16" s="80">
        <f>E16*F16</f>
        <v>35640</v>
      </c>
      <c r="H16" s="80"/>
      <c r="I16" s="68">
        <f t="shared" si="1"/>
        <v>35640</v>
      </c>
      <c r="J16" s="80"/>
      <c r="K16" s="81"/>
      <c r="L16" s="81" t="s">
        <v>123</v>
      </c>
      <c r="M16" s="82"/>
    </row>
    <row r="17" spans="2:13" ht="15" customHeight="1">
      <c r="B17" s="77">
        <v>42304</v>
      </c>
      <c r="C17" s="78" t="s">
        <v>128</v>
      </c>
      <c r="D17" s="84"/>
      <c r="E17" s="80">
        <v>1</v>
      </c>
      <c r="F17" s="83">
        <v>-490</v>
      </c>
      <c r="G17" s="80">
        <f>E17*F17</f>
        <v>-490</v>
      </c>
      <c r="H17" s="80"/>
      <c r="I17" s="68">
        <f t="shared" si="1"/>
        <v>-490</v>
      </c>
      <c r="J17" s="80"/>
      <c r="K17" s="81"/>
      <c r="L17" s="81" t="s">
        <v>123</v>
      </c>
      <c r="M17" s="82"/>
    </row>
    <row r="18" spans="2:13" ht="15" customHeight="1">
      <c r="B18" s="85">
        <v>42304</v>
      </c>
      <c r="C18" s="86" t="s">
        <v>121</v>
      </c>
      <c r="D18" s="87"/>
      <c r="E18" s="88"/>
      <c r="F18" s="89"/>
      <c r="G18" s="88"/>
      <c r="H18" s="88"/>
      <c r="I18" s="74"/>
      <c r="J18" s="88">
        <f>SUM(I13:I17)</f>
        <v>61000</v>
      </c>
      <c r="K18" s="90"/>
      <c r="L18" s="90"/>
      <c r="M18" s="91"/>
    </row>
    <row r="19" spans="2:13" ht="15" customHeight="1">
      <c r="B19" s="92">
        <v>42342</v>
      </c>
      <c r="C19" s="93" t="s">
        <v>129</v>
      </c>
      <c r="D19" s="94"/>
      <c r="E19" s="95">
        <v>1</v>
      </c>
      <c r="F19" s="96">
        <v>330000</v>
      </c>
      <c r="G19" s="95">
        <f>E19*F19</f>
        <v>330000</v>
      </c>
      <c r="H19" s="95"/>
      <c r="I19" s="97">
        <f t="shared" si="1"/>
        <v>330000</v>
      </c>
      <c r="J19" s="95"/>
      <c r="K19" s="98"/>
      <c r="L19" s="99"/>
      <c r="M19" s="100"/>
    </row>
    <row r="20" spans="2:13" ht="15" customHeight="1">
      <c r="B20" s="85"/>
      <c r="C20" s="86" t="s">
        <v>121</v>
      </c>
      <c r="D20" s="87"/>
      <c r="E20" s="88"/>
      <c r="F20" s="89"/>
      <c r="G20" s="88"/>
      <c r="H20" s="88"/>
      <c r="I20" s="74"/>
      <c r="J20" s="88">
        <f>I19</f>
        <v>330000</v>
      </c>
      <c r="K20" s="90"/>
      <c r="L20" s="90"/>
      <c r="M20" s="91"/>
    </row>
    <row r="21" spans="2:13" ht="15" customHeight="1">
      <c r="B21" s="92">
        <v>42384</v>
      </c>
      <c r="C21" s="93" t="s">
        <v>130</v>
      </c>
      <c r="D21" s="94"/>
      <c r="E21" s="95">
        <v>1</v>
      </c>
      <c r="F21" s="96">
        <v>308500</v>
      </c>
      <c r="G21" s="95">
        <f>E21*F21</f>
        <v>308500</v>
      </c>
      <c r="H21" s="95"/>
      <c r="I21" s="97">
        <f t="shared" si="1"/>
        <v>308500</v>
      </c>
      <c r="J21" s="95"/>
      <c r="K21" s="98"/>
      <c r="L21" s="99"/>
      <c r="M21" s="100"/>
    </row>
    <row r="22" spans="2:13" ht="15" customHeight="1">
      <c r="B22" s="85"/>
      <c r="C22" s="86" t="s">
        <v>121</v>
      </c>
      <c r="D22" s="87"/>
      <c r="E22" s="88"/>
      <c r="F22" s="89"/>
      <c r="G22" s="88"/>
      <c r="H22" s="88"/>
      <c r="I22" s="74"/>
      <c r="J22" s="88">
        <f>I21</f>
        <v>308500</v>
      </c>
      <c r="K22" s="90"/>
      <c r="L22" s="90"/>
      <c r="M22" s="91"/>
    </row>
    <row r="23" spans="2:13" ht="15" customHeight="1">
      <c r="B23" s="77">
        <v>42493</v>
      </c>
      <c r="C23" s="78" t="s">
        <v>131</v>
      </c>
      <c r="D23" s="84"/>
      <c r="E23" s="80">
        <v>1</v>
      </c>
      <c r="F23" s="83"/>
      <c r="G23" s="80">
        <f t="shared" ref="G23:G33" si="2">E23*F23</f>
        <v>0</v>
      </c>
      <c r="H23" s="80">
        <v>26000</v>
      </c>
      <c r="I23" s="68">
        <f t="shared" si="1"/>
        <v>26000</v>
      </c>
      <c r="J23" s="80"/>
      <c r="K23" s="81"/>
      <c r="L23" s="81" t="s">
        <v>123</v>
      </c>
      <c r="M23" s="82"/>
    </row>
    <row r="24" spans="2:13" ht="15" customHeight="1">
      <c r="B24" s="77">
        <v>42493</v>
      </c>
      <c r="C24" s="78" t="s">
        <v>132</v>
      </c>
      <c r="D24" s="84" t="s">
        <v>125</v>
      </c>
      <c r="E24" s="80">
        <v>3</v>
      </c>
      <c r="F24" s="83">
        <v>7623</v>
      </c>
      <c r="G24" s="80">
        <f t="shared" si="2"/>
        <v>22869</v>
      </c>
      <c r="H24" s="80"/>
      <c r="I24" s="68">
        <f t="shared" si="1"/>
        <v>22869</v>
      </c>
      <c r="J24" s="80"/>
      <c r="K24" s="81"/>
      <c r="L24" s="81" t="s">
        <v>123</v>
      </c>
      <c r="M24" s="82"/>
    </row>
    <row r="25" spans="2:13" ht="15" customHeight="1">
      <c r="B25" s="77">
        <v>42493</v>
      </c>
      <c r="C25" s="78" t="s">
        <v>133</v>
      </c>
      <c r="D25" s="84"/>
      <c r="E25" s="80">
        <v>1</v>
      </c>
      <c r="F25" s="83"/>
      <c r="G25" s="80">
        <f t="shared" si="2"/>
        <v>0</v>
      </c>
      <c r="H25" s="80">
        <v>31200</v>
      </c>
      <c r="I25" s="68">
        <f t="shared" si="1"/>
        <v>31200</v>
      </c>
      <c r="J25" s="80"/>
      <c r="K25" s="81"/>
      <c r="L25" s="81" t="s">
        <v>123</v>
      </c>
      <c r="M25" s="82"/>
    </row>
    <row r="26" spans="2:13" ht="15" customHeight="1">
      <c r="B26" s="77">
        <v>42493</v>
      </c>
      <c r="C26" s="78" t="s">
        <v>134</v>
      </c>
      <c r="D26" s="84" t="s">
        <v>125</v>
      </c>
      <c r="E26" s="80">
        <v>10</v>
      </c>
      <c r="F26" s="83">
        <v>8030</v>
      </c>
      <c r="G26" s="80">
        <f t="shared" si="2"/>
        <v>80300</v>
      </c>
      <c r="H26" s="80"/>
      <c r="I26" s="68">
        <f t="shared" si="1"/>
        <v>80300</v>
      </c>
      <c r="J26" s="80"/>
      <c r="K26" s="81"/>
      <c r="L26" s="81" t="s">
        <v>123</v>
      </c>
      <c r="M26" s="82"/>
    </row>
    <row r="27" spans="2:13" ht="15" customHeight="1">
      <c r="B27" s="77">
        <v>42493</v>
      </c>
      <c r="C27" s="78" t="s">
        <v>135</v>
      </c>
      <c r="D27" s="84"/>
      <c r="E27" s="80">
        <v>1</v>
      </c>
      <c r="F27" s="83"/>
      <c r="G27" s="80">
        <f t="shared" si="2"/>
        <v>0</v>
      </c>
      <c r="H27" s="80">
        <v>31200</v>
      </c>
      <c r="I27" s="68">
        <f t="shared" si="1"/>
        <v>31200</v>
      </c>
      <c r="J27" s="80"/>
      <c r="K27" s="81"/>
      <c r="L27" s="81" t="s">
        <v>123</v>
      </c>
      <c r="M27" s="82"/>
    </row>
    <row r="28" spans="2:13" ht="15" customHeight="1">
      <c r="B28" s="77">
        <v>42493</v>
      </c>
      <c r="C28" s="78" t="s">
        <v>136</v>
      </c>
      <c r="D28" s="84" t="s">
        <v>125</v>
      </c>
      <c r="E28" s="80">
        <v>3</v>
      </c>
      <c r="F28" s="83">
        <v>6558</v>
      </c>
      <c r="G28" s="80">
        <f t="shared" si="2"/>
        <v>19674</v>
      </c>
      <c r="H28" s="80"/>
      <c r="I28" s="68">
        <f t="shared" si="1"/>
        <v>19674</v>
      </c>
      <c r="J28" s="80"/>
      <c r="K28" s="82"/>
      <c r="L28" s="82" t="s">
        <v>123</v>
      </c>
      <c r="M28" s="82"/>
    </row>
    <row r="29" spans="2:13" ht="15" customHeight="1">
      <c r="B29" s="77">
        <v>42493</v>
      </c>
      <c r="C29" s="101" t="s">
        <v>137</v>
      </c>
      <c r="D29" s="102"/>
      <c r="E29" s="103">
        <v>1</v>
      </c>
      <c r="F29" s="104"/>
      <c r="G29" s="80">
        <f t="shared" si="2"/>
        <v>0</v>
      </c>
      <c r="H29" s="103">
        <v>11000</v>
      </c>
      <c r="I29" s="68">
        <f t="shared" si="1"/>
        <v>11000</v>
      </c>
      <c r="J29" s="80"/>
      <c r="K29" s="105"/>
      <c r="L29" s="105" t="s">
        <v>123</v>
      </c>
      <c r="M29" s="105"/>
    </row>
    <row r="30" spans="2:13" ht="15" customHeight="1">
      <c r="B30" s="77">
        <v>42493</v>
      </c>
      <c r="C30" s="78" t="s">
        <v>124</v>
      </c>
      <c r="D30" s="79" t="s">
        <v>125</v>
      </c>
      <c r="E30" s="80">
        <v>1</v>
      </c>
      <c r="F30" s="80">
        <v>8800</v>
      </c>
      <c r="G30" s="80">
        <f t="shared" si="2"/>
        <v>8800</v>
      </c>
      <c r="H30" s="103"/>
      <c r="I30" s="68">
        <f t="shared" si="1"/>
        <v>8800</v>
      </c>
      <c r="J30" s="80"/>
      <c r="K30" s="105"/>
      <c r="L30" s="105" t="s">
        <v>123</v>
      </c>
      <c r="M30" s="105"/>
    </row>
    <row r="31" spans="2:13" ht="15" customHeight="1">
      <c r="B31" s="77">
        <v>42493</v>
      </c>
      <c r="C31" s="78" t="s">
        <v>126</v>
      </c>
      <c r="D31" s="79" t="s">
        <v>125</v>
      </c>
      <c r="E31" s="80">
        <v>1</v>
      </c>
      <c r="F31" s="83">
        <v>6050</v>
      </c>
      <c r="G31" s="80">
        <f t="shared" si="2"/>
        <v>6050</v>
      </c>
      <c r="H31" s="103"/>
      <c r="I31" s="68">
        <f t="shared" si="1"/>
        <v>6050</v>
      </c>
      <c r="J31" s="80"/>
      <c r="K31" s="105"/>
      <c r="L31" s="105" t="s">
        <v>123</v>
      </c>
      <c r="M31" s="105"/>
    </row>
    <row r="32" spans="2:13" ht="15" customHeight="1">
      <c r="B32" s="77">
        <v>42493</v>
      </c>
      <c r="C32" s="78" t="s">
        <v>127</v>
      </c>
      <c r="D32" s="79" t="s">
        <v>125</v>
      </c>
      <c r="E32" s="80">
        <v>6</v>
      </c>
      <c r="F32" s="83">
        <v>5940</v>
      </c>
      <c r="G32" s="80">
        <f t="shared" si="2"/>
        <v>35640</v>
      </c>
      <c r="H32" s="103"/>
      <c r="I32" s="68">
        <f t="shared" si="1"/>
        <v>35640</v>
      </c>
      <c r="J32" s="80"/>
      <c r="K32" s="105"/>
      <c r="L32" s="105" t="s">
        <v>123</v>
      </c>
      <c r="M32" s="105"/>
    </row>
    <row r="33" spans="2:13" ht="15" customHeight="1">
      <c r="B33" s="77">
        <v>42493</v>
      </c>
      <c r="C33" s="78" t="s">
        <v>128</v>
      </c>
      <c r="D33" s="84"/>
      <c r="E33" s="80">
        <v>1</v>
      </c>
      <c r="F33" s="83">
        <v>-37733</v>
      </c>
      <c r="G33" s="80">
        <f t="shared" si="2"/>
        <v>-37733</v>
      </c>
      <c r="H33" s="103"/>
      <c r="I33" s="68">
        <f t="shared" si="1"/>
        <v>-37733</v>
      </c>
      <c r="J33" s="80"/>
      <c r="K33" s="105"/>
      <c r="L33" s="105" t="s">
        <v>123</v>
      </c>
      <c r="M33" s="105"/>
    </row>
    <row r="34" spans="2:13" ht="15" customHeight="1">
      <c r="B34" s="85">
        <v>42493</v>
      </c>
      <c r="C34" s="106" t="s">
        <v>121</v>
      </c>
      <c r="D34" s="107"/>
      <c r="E34" s="108"/>
      <c r="F34" s="109"/>
      <c r="G34" s="88"/>
      <c r="H34" s="108"/>
      <c r="I34" s="74"/>
      <c r="J34" s="88">
        <f>SUM(I23:I33)</f>
        <v>235000</v>
      </c>
      <c r="K34" s="110"/>
      <c r="L34" s="110"/>
      <c r="M34" s="110"/>
    </row>
    <row r="35" spans="2:13" ht="15" customHeight="1">
      <c r="B35" s="111">
        <v>42539</v>
      </c>
      <c r="C35" s="112" t="s">
        <v>138</v>
      </c>
      <c r="D35" s="113"/>
      <c r="E35" s="114"/>
      <c r="F35" s="115"/>
      <c r="G35" s="95">
        <f>E35*F35</f>
        <v>0</v>
      </c>
      <c r="H35" s="114"/>
      <c r="I35" s="97">
        <f t="shared" si="1"/>
        <v>0</v>
      </c>
      <c r="J35" s="80"/>
      <c r="K35" s="116"/>
      <c r="L35" s="116" t="s">
        <v>123</v>
      </c>
      <c r="M35" s="116"/>
    </row>
    <row r="36" spans="2:13" ht="15" customHeight="1">
      <c r="B36" s="85"/>
      <c r="C36" s="86" t="s">
        <v>121</v>
      </c>
      <c r="D36" s="87"/>
      <c r="E36" s="88"/>
      <c r="F36" s="89"/>
      <c r="G36" s="88"/>
      <c r="H36" s="88"/>
      <c r="I36" s="74"/>
      <c r="J36" s="88"/>
      <c r="K36" s="90"/>
      <c r="L36" s="90"/>
      <c r="M36" s="91"/>
    </row>
    <row r="37" spans="2:13" ht="15" customHeight="1">
      <c r="B37" s="111">
        <v>42875</v>
      </c>
      <c r="C37" s="112" t="s">
        <v>124</v>
      </c>
      <c r="D37" s="113"/>
      <c r="E37" s="114">
        <v>1</v>
      </c>
      <c r="F37" s="115"/>
      <c r="G37" s="95">
        <f>E37*F37</f>
        <v>0</v>
      </c>
      <c r="H37" s="114"/>
      <c r="I37" s="95">
        <v>25000</v>
      </c>
      <c r="J37" s="95"/>
      <c r="K37" s="116">
        <v>150025</v>
      </c>
      <c r="L37" s="116" t="s">
        <v>139</v>
      </c>
      <c r="M37" s="116"/>
    </row>
    <row r="38" spans="2:13" ht="15" customHeight="1">
      <c r="B38" s="111">
        <v>42875</v>
      </c>
      <c r="C38" s="112" t="s">
        <v>140</v>
      </c>
      <c r="D38" s="113"/>
      <c r="E38" s="114">
        <v>1</v>
      </c>
      <c r="F38" s="115"/>
      <c r="G38" s="95">
        <f>E38*F38</f>
        <v>0</v>
      </c>
      <c r="H38" s="114"/>
      <c r="I38" s="95">
        <v>110000</v>
      </c>
      <c r="J38" s="80"/>
      <c r="K38" s="116">
        <v>150025</v>
      </c>
      <c r="L38" s="116" t="s">
        <v>139</v>
      </c>
      <c r="M38" s="116"/>
    </row>
    <row r="39" spans="2:13" ht="15" customHeight="1">
      <c r="B39" s="85"/>
      <c r="C39" s="86" t="s">
        <v>121</v>
      </c>
      <c r="D39" s="87"/>
      <c r="E39" s="88"/>
      <c r="F39" s="89"/>
      <c r="G39" s="88"/>
      <c r="H39" s="88"/>
      <c r="I39" s="74"/>
      <c r="J39" s="88">
        <f>SUM(I37:I38)</f>
        <v>135000</v>
      </c>
      <c r="K39" s="90"/>
      <c r="L39" s="90"/>
      <c r="M39" s="91"/>
    </row>
    <row r="40" spans="2:13" ht="15" customHeight="1">
      <c r="B40" s="111">
        <v>42938</v>
      </c>
      <c r="C40" s="112" t="s">
        <v>141</v>
      </c>
      <c r="D40" s="113"/>
      <c r="E40" s="114">
        <v>1</v>
      </c>
      <c r="F40" s="115"/>
      <c r="G40" s="95">
        <f>E40*F40</f>
        <v>0</v>
      </c>
      <c r="H40" s="114"/>
      <c r="I40" s="95">
        <v>7000</v>
      </c>
      <c r="J40" s="95"/>
      <c r="K40" s="116"/>
      <c r="L40" s="116"/>
      <c r="M40" s="116"/>
    </row>
    <row r="41" spans="2:13" ht="15" customHeight="1">
      <c r="B41" s="85"/>
      <c r="C41" s="86" t="s">
        <v>121</v>
      </c>
      <c r="D41" s="87"/>
      <c r="E41" s="88"/>
      <c r="F41" s="89"/>
      <c r="G41" s="88"/>
      <c r="H41" s="88"/>
      <c r="I41" s="74"/>
      <c r="J41" s="88">
        <f>I40</f>
        <v>7000</v>
      </c>
      <c r="K41" s="90"/>
      <c r="L41" s="90"/>
      <c r="M41" s="91"/>
    </row>
    <row r="42" spans="2:13" ht="15" customHeight="1">
      <c r="B42" s="111">
        <v>42973</v>
      </c>
      <c r="C42" s="112" t="s">
        <v>120</v>
      </c>
      <c r="D42" s="113"/>
      <c r="E42" s="114">
        <v>1</v>
      </c>
      <c r="F42" s="115">
        <v>21800</v>
      </c>
      <c r="G42" s="95">
        <f>E42*F42</f>
        <v>21800</v>
      </c>
      <c r="H42" s="114"/>
      <c r="I42" s="95">
        <f t="shared" ref="I42:I63" si="3">SUM(G42:H42)</f>
        <v>21800</v>
      </c>
      <c r="J42" s="95"/>
      <c r="K42" s="116">
        <v>153867</v>
      </c>
      <c r="L42" s="116" t="s">
        <v>142</v>
      </c>
      <c r="M42" s="116"/>
    </row>
    <row r="43" spans="2:13" ht="15" customHeight="1">
      <c r="B43" s="111">
        <v>42973</v>
      </c>
      <c r="C43" s="112" t="s">
        <v>143</v>
      </c>
      <c r="D43" s="113"/>
      <c r="E43" s="114">
        <v>3</v>
      </c>
      <c r="F43" s="115">
        <v>2000</v>
      </c>
      <c r="G43" s="95">
        <f>E43*F43</f>
        <v>6000</v>
      </c>
      <c r="H43" s="114"/>
      <c r="I43" s="95">
        <f t="shared" si="3"/>
        <v>6000</v>
      </c>
      <c r="J43" s="95"/>
      <c r="K43" s="116"/>
      <c r="L43" s="116" t="s">
        <v>142</v>
      </c>
      <c r="M43" s="116"/>
    </row>
    <row r="44" spans="2:13" ht="15" customHeight="1">
      <c r="B44" s="111">
        <v>42973</v>
      </c>
      <c r="C44" s="112" t="s">
        <v>137</v>
      </c>
      <c r="D44" s="113"/>
      <c r="E44" s="114">
        <v>1</v>
      </c>
      <c r="F44" s="115">
        <v>55000</v>
      </c>
      <c r="G44" s="95">
        <f>E44*F44</f>
        <v>55000</v>
      </c>
      <c r="H44" s="114"/>
      <c r="I44" s="95">
        <f t="shared" si="3"/>
        <v>55000</v>
      </c>
      <c r="J44" s="95"/>
      <c r="K44" s="116">
        <v>153891</v>
      </c>
      <c r="L44" s="116" t="s">
        <v>139</v>
      </c>
      <c r="M44" s="116"/>
    </row>
    <row r="45" spans="2:13" ht="15" customHeight="1">
      <c r="B45" s="85"/>
      <c r="C45" s="86" t="s">
        <v>121</v>
      </c>
      <c r="D45" s="87"/>
      <c r="E45" s="88"/>
      <c r="F45" s="89"/>
      <c r="G45" s="88"/>
      <c r="H45" s="88"/>
      <c r="I45" s="74"/>
      <c r="J45" s="88">
        <f>SUM(I42:I44)</f>
        <v>82800</v>
      </c>
      <c r="K45" s="90"/>
      <c r="L45" s="90"/>
      <c r="M45" s="91"/>
    </row>
    <row r="46" spans="2:13" ht="15" customHeight="1">
      <c r="B46" s="111">
        <v>43134</v>
      </c>
      <c r="C46" s="112" t="s">
        <v>144</v>
      </c>
      <c r="D46" s="113"/>
      <c r="E46" s="114">
        <v>1</v>
      </c>
      <c r="F46" s="115">
        <v>102000</v>
      </c>
      <c r="G46" s="95">
        <f>E46*F46</f>
        <v>102000</v>
      </c>
      <c r="H46" s="114"/>
      <c r="I46" s="95">
        <f t="shared" si="3"/>
        <v>102000</v>
      </c>
      <c r="J46" s="95"/>
      <c r="K46" s="116"/>
      <c r="L46" s="116" t="s">
        <v>145</v>
      </c>
      <c r="M46" s="116"/>
    </row>
    <row r="47" spans="2:13" ht="15" customHeight="1">
      <c r="B47" s="85"/>
      <c r="C47" s="86" t="s">
        <v>121</v>
      </c>
      <c r="D47" s="87"/>
      <c r="E47" s="88"/>
      <c r="F47" s="89"/>
      <c r="G47" s="88"/>
      <c r="H47" s="88"/>
      <c r="I47" s="74"/>
      <c r="J47" s="88">
        <f>I46</f>
        <v>102000</v>
      </c>
      <c r="K47" s="90"/>
      <c r="L47" s="90"/>
      <c r="M47" s="91"/>
    </row>
    <row r="48" spans="2:13" ht="15" customHeight="1">
      <c r="B48" s="111">
        <v>43311</v>
      </c>
      <c r="C48" s="112"/>
      <c r="D48" s="113"/>
      <c r="E48" s="114">
        <v>1</v>
      </c>
      <c r="F48" s="115">
        <v>1060000</v>
      </c>
      <c r="G48" s="95">
        <f>E48*F48</f>
        <v>1060000</v>
      </c>
      <c r="H48" s="114"/>
      <c r="I48" s="95">
        <f t="shared" si="3"/>
        <v>1060000</v>
      </c>
      <c r="J48" s="95"/>
      <c r="K48" s="116"/>
      <c r="L48" s="116" t="s">
        <v>145</v>
      </c>
      <c r="M48" s="116"/>
    </row>
    <row r="49" spans="2:13" ht="15" customHeight="1">
      <c r="B49" s="85"/>
      <c r="C49" s="86" t="s">
        <v>121</v>
      </c>
      <c r="D49" s="87"/>
      <c r="E49" s="88"/>
      <c r="F49" s="89"/>
      <c r="G49" s="88"/>
      <c r="H49" s="88"/>
      <c r="I49" s="74"/>
      <c r="J49" s="88">
        <f>I48</f>
        <v>1060000</v>
      </c>
      <c r="K49" s="90"/>
      <c r="L49" s="90"/>
      <c r="M49" s="91"/>
    </row>
    <row r="50" spans="2:13" ht="15" customHeight="1">
      <c r="B50" s="111">
        <v>43505</v>
      </c>
      <c r="C50" s="112" t="s">
        <v>202</v>
      </c>
      <c r="D50" s="113"/>
      <c r="E50" s="114">
        <v>1</v>
      </c>
      <c r="F50" s="115">
        <v>77000</v>
      </c>
      <c r="G50" s="95">
        <f>E50*F50</f>
        <v>77000</v>
      </c>
      <c r="H50" s="114"/>
      <c r="I50" s="95">
        <f t="shared" si="3"/>
        <v>77000</v>
      </c>
      <c r="J50" s="95"/>
      <c r="K50" s="116">
        <v>159929</v>
      </c>
      <c r="L50" s="116" t="s">
        <v>203</v>
      </c>
      <c r="M50" s="116"/>
    </row>
    <row r="51" spans="2:13" ht="15" customHeight="1">
      <c r="B51" s="111">
        <v>43505</v>
      </c>
      <c r="C51" s="112" t="s">
        <v>204</v>
      </c>
      <c r="D51" s="113"/>
      <c r="E51" s="114">
        <v>1</v>
      </c>
      <c r="F51" s="115">
        <v>60000</v>
      </c>
      <c r="G51" s="95">
        <f>E51*F51</f>
        <v>60000</v>
      </c>
      <c r="H51" s="114"/>
      <c r="I51" s="95">
        <f t="shared" si="3"/>
        <v>60000</v>
      </c>
      <c r="J51" s="95"/>
      <c r="K51" s="116"/>
      <c r="L51" s="116" t="s">
        <v>203</v>
      </c>
      <c r="M51" s="116"/>
    </row>
    <row r="52" spans="2:13" ht="15" customHeight="1">
      <c r="B52" s="111">
        <v>43505</v>
      </c>
      <c r="C52" s="112" t="s">
        <v>205</v>
      </c>
      <c r="D52" s="113"/>
      <c r="E52" s="114">
        <v>1</v>
      </c>
      <c r="F52" s="115">
        <v>33000</v>
      </c>
      <c r="G52" s="95">
        <f>E52*F52</f>
        <v>33000</v>
      </c>
      <c r="H52" s="114"/>
      <c r="I52" s="95">
        <f t="shared" si="3"/>
        <v>33000</v>
      </c>
      <c r="J52" s="95"/>
      <c r="K52" s="116"/>
      <c r="L52" s="116" t="s">
        <v>203</v>
      </c>
      <c r="M52" s="116"/>
    </row>
    <row r="53" spans="2:13" ht="15" customHeight="1">
      <c r="B53" s="85"/>
      <c r="C53" s="86" t="s">
        <v>121</v>
      </c>
      <c r="D53" s="87"/>
      <c r="E53" s="88"/>
      <c r="F53" s="89"/>
      <c r="G53" s="88"/>
      <c r="H53" s="88"/>
      <c r="I53" s="74"/>
      <c r="J53" s="88">
        <f>SUM(I50:I52)</f>
        <v>170000</v>
      </c>
      <c r="K53" s="90"/>
      <c r="L53" s="90"/>
      <c r="M53" s="91"/>
    </row>
    <row r="54" spans="2:13" ht="15" customHeight="1">
      <c r="B54" s="111">
        <v>43654</v>
      </c>
      <c r="C54" s="112" t="s">
        <v>226</v>
      </c>
      <c r="D54" s="113"/>
      <c r="E54" s="114">
        <v>1</v>
      </c>
      <c r="F54" s="115">
        <v>37800</v>
      </c>
      <c r="G54" s="95">
        <f>E54*F54</f>
        <v>37800</v>
      </c>
      <c r="H54" s="114"/>
      <c r="I54" s="95">
        <f t="shared" si="3"/>
        <v>37800</v>
      </c>
      <c r="J54" s="95"/>
      <c r="K54" s="116"/>
      <c r="L54" s="116" t="s">
        <v>227</v>
      </c>
      <c r="M54" s="116"/>
    </row>
    <row r="55" spans="2:13" ht="15" customHeight="1">
      <c r="B55" s="85"/>
      <c r="C55" s="86" t="s">
        <v>121</v>
      </c>
      <c r="D55" s="87"/>
      <c r="E55" s="88"/>
      <c r="F55" s="89"/>
      <c r="G55" s="88"/>
      <c r="H55" s="88"/>
      <c r="I55" s="74"/>
      <c r="J55" s="88">
        <f>I54</f>
        <v>37800</v>
      </c>
      <c r="K55" s="90"/>
      <c r="L55" s="90"/>
      <c r="M55" s="91"/>
    </row>
    <row r="56" spans="2:13" ht="15" customHeight="1">
      <c r="B56" s="111">
        <v>43675</v>
      </c>
      <c r="C56" s="112" t="s">
        <v>231</v>
      </c>
      <c r="D56" s="113"/>
      <c r="E56" s="114">
        <v>1</v>
      </c>
      <c r="F56" s="115">
        <v>106400</v>
      </c>
      <c r="G56" s="95">
        <f t="shared" ref="G56:G62" si="4">E56*F56</f>
        <v>106400</v>
      </c>
      <c r="H56" s="114"/>
      <c r="I56" s="95">
        <f>SUM(G56:H56)</f>
        <v>106400</v>
      </c>
      <c r="J56" s="95"/>
      <c r="K56" s="116">
        <v>163519</v>
      </c>
      <c r="L56" s="116" t="s">
        <v>238</v>
      </c>
      <c r="M56" s="116" t="s">
        <v>239</v>
      </c>
    </row>
    <row r="57" spans="2:13" ht="15" customHeight="1">
      <c r="B57" s="111"/>
      <c r="C57" s="112" t="s">
        <v>232</v>
      </c>
      <c r="D57" s="113"/>
      <c r="E57" s="114">
        <v>1</v>
      </c>
      <c r="F57" s="115">
        <v>149300</v>
      </c>
      <c r="G57" s="95">
        <f t="shared" si="4"/>
        <v>149300</v>
      </c>
      <c r="H57" s="114"/>
      <c r="I57" s="95">
        <f>SUM(G57:H57)</f>
        <v>149300</v>
      </c>
      <c r="J57" s="95"/>
      <c r="K57" s="116"/>
      <c r="L57" s="116" t="s">
        <v>240</v>
      </c>
      <c r="M57" s="116"/>
    </row>
    <row r="58" spans="2:13" ht="15" customHeight="1">
      <c r="B58" s="111"/>
      <c r="C58" s="112" t="s">
        <v>233</v>
      </c>
      <c r="D58" s="113"/>
      <c r="E58" s="114">
        <v>1</v>
      </c>
      <c r="F58" s="115"/>
      <c r="G58" s="95">
        <f t="shared" si="4"/>
        <v>0</v>
      </c>
      <c r="H58" s="114">
        <v>54000</v>
      </c>
      <c r="I58" s="95">
        <f>SUM(G58:H58)</f>
        <v>54000</v>
      </c>
      <c r="J58" s="95"/>
      <c r="K58" s="116"/>
      <c r="L58" s="116" t="s">
        <v>241</v>
      </c>
      <c r="M58" s="116"/>
    </row>
    <row r="59" spans="2:13" ht="15" customHeight="1">
      <c r="B59" s="111"/>
      <c r="C59" s="112" t="s">
        <v>234</v>
      </c>
      <c r="D59" s="113"/>
      <c r="E59" s="114">
        <v>1</v>
      </c>
      <c r="F59" s="115"/>
      <c r="G59" s="95">
        <f t="shared" si="4"/>
        <v>0</v>
      </c>
      <c r="H59" s="114">
        <v>25000</v>
      </c>
      <c r="I59" s="95">
        <f>SUM(G59:H59)</f>
        <v>25000</v>
      </c>
      <c r="J59" s="95"/>
      <c r="K59" s="116"/>
      <c r="L59" s="116"/>
      <c r="M59" s="116"/>
    </row>
    <row r="60" spans="2:13" ht="15" customHeight="1">
      <c r="B60" s="111"/>
      <c r="C60" s="112" t="s">
        <v>235</v>
      </c>
      <c r="D60" s="113"/>
      <c r="E60" s="114">
        <v>1</v>
      </c>
      <c r="F60" s="115"/>
      <c r="G60" s="95">
        <f t="shared" si="4"/>
        <v>0</v>
      </c>
      <c r="H60" s="114">
        <v>18000</v>
      </c>
      <c r="I60" s="95">
        <f>SUM(G60:H60)</f>
        <v>18000</v>
      </c>
      <c r="J60" s="95"/>
      <c r="K60" s="116"/>
      <c r="L60" s="116"/>
      <c r="M60" s="116"/>
    </row>
    <row r="61" spans="2:13" ht="15" customHeight="1">
      <c r="B61" s="111"/>
      <c r="C61" s="112" t="s">
        <v>236</v>
      </c>
      <c r="D61" s="113"/>
      <c r="E61" s="114"/>
      <c r="F61" s="115"/>
      <c r="G61" s="95">
        <f t="shared" si="4"/>
        <v>0</v>
      </c>
      <c r="H61" s="114"/>
      <c r="I61" s="95">
        <f t="shared" si="3"/>
        <v>0</v>
      </c>
      <c r="J61" s="95"/>
      <c r="K61" s="116"/>
      <c r="L61" s="116"/>
      <c r="M61" s="116"/>
    </row>
    <row r="62" spans="2:13" ht="15" customHeight="1">
      <c r="B62" s="111"/>
      <c r="C62" s="112" t="s">
        <v>237</v>
      </c>
      <c r="D62" s="113"/>
      <c r="E62" s="114"/>
      <c r="F62" s="115"/>
      <c r="G62" s="95">
        <f t="shared" si="4"/>
        <v>0</v>
      </c>
      <c r="H62" s="114"/>
      <c r="I62" s="95">
        <f t="shared" si="3"/>
        <v>0</v>
      </c>
      <c r="J62" s="95"/>
      <c r="K62" s="116"/>
      <c r="L62" s="116"/>
      <c r="M62" s="116"/>
    </row>
    <row r="63" spans="2:13" ht="15" customHeight="1">
      <c r="B63" s="111"/>
      <c r="C63" s="112" t="s">
        <v>460</v>
      </c>
      <c r="D63" s="113"/>
      <c r="E63" s="114">
        <v>1</v>
      </c>
      <c r="F63" s="115"/>
      <c r="G63" s="95">
        <v>35270</v>
      </c>
      <c r="H63" s="114"/>
      <c r="I63" s="95">
        <f t="shared" si="3"/>
        <v>35270</v>
      </c>
      <c r="J63" s="95"/>
      <c r="K63" s="116"/>
      <c r="L63" s="116"/>
      <c r="M63" s="116"/>
    </row>
    <row r="64" spans="2:13" ht="15" customHeight="1">
      <c r="B64" s="85"/>
      <c r="C64" s="86" t="s">
        <v>121</v>
      </c>
      <c r="D64" s="87"/>
      <c r="E64" s="88"/>
      <c r="F64" s="89"/>
      <c r="G64" s="88"/>
      <c r="H64" s="88"/>
      <c r="I64" s="74"/>
      <c r="J64" s="88">
        <f>SUM(I56:I63)</f>
        <v>387970</v>
      </c>
      <c r="K64" s="90"/>
      <c r="L64" s="90"/>
      <c r="M64" s="91"/>
    </row>
    <row r="65" spans="2:15" ht="15" customHeight="1">
      <c r="B65" s="111"/>
      <c r="C65" s="112" t="s">
        <v>243</v>
      </c>
      <c r="D65" s="113"/>
      <c r="E65" s="114"/>
      <c r="F65" s="115"/>
      <c r="G65" s="95"/>
      <c r="H65" s="114"/>
      <c r="I65" s="95"/>
      <c r="J65" s="95"/>
      <c r="K65" s="116"/>
      <c r="L65" s="116"/>
      <c r="M65" s="116"/>
    </row>
    <row r="66" spans="2:15" ht="15" customHeight="1">
      <c r="B66" s="111">
        <v>43806</v>
      </c>
      <c r="C66" s="112" t="s">
        <v>271</v>
      </c>
      <c r="D66" s="113"/>
      <c r="E66" s="114">
        <v>1</v>
      </c>
      <c r="F66" s="115">
        <v>65000</v>
      </c>
      <c r="G66" s="95">
        <f>E66*F66</f>
        <v>65000</v>
      </c>
      <c r="H66" s="114">
        <v>15000</v>
      </c>
      <c r="I66" s="95">
        <f>SUM(G66:H66)</f>
        <v>80000</v>
      </c>
      <c r="J66" s="95"/>
      <c r="K66" s="116">
        <v>168610</v>
      </c>
      <c r="L66" s="116" t="s">
        <v>277</v>
      </c>
      <c r="M66" s="116"/>
    </row>
    <row r="67" spans="2:15" ht="15" customHeight="1">
      <c r="B67" s="111"/>
      <c r="C67" s="112" t="s">
        <v>272</v>
      </c>
      <c r="D67" s="113"/>
      <c r="E67" s="114">
        <v>1</v>
      </c>
      <c r="F67" s="115">
        <v>15000</v>
      </c>
      <c r="G67" s="95">
        <f t="shared" ref="G67:G86" si="5">E67*F67</f>
        <v>15000</v>
      </c>
      <c r="H67" s="114">
        <v>5000</v>
      </c>
      <c r="I67" s="95">
        <f t="shared" ref="I67:I86" si="6">SUM(G67:H67)</f>
        <v>20000</v>
      </c>
      <c r="J67" s="95"/>
      <c r="K67" s="116"/>
      <c r="L67" s="116" t="s">
        <v>278</v>
      </c>
      <c r="M67" s="116"/>
    </row>
    <row r="68" spans="2:15" ht="15" customHeight="1">
      <c r="B68" s="111"/>
      <c r="C68" s="112" t="s">
        <v>273</v>
      </c>
      <c r="D68" s="113"/>
      <c r="E68" s="114">
        <v>1</v>
      </c>
      <c r="F68" s="115">
        <v>25000</v>
      </c>
      <c r="G68" s="95">
        <f t="shared" si="5"/>
        <v>25000</v>
      </c>
      <c r="H68" s="114">
        <v>5000</v>
      </c>
      <c r="I68" s="95">
        <f t="shared" si="6"/>
        <v>30000</v>
      </c>
      <c r="J68" s="95"/>
      <c r="K68" s="116"/>
      <c r="L68" s="116"/>
      <c r="M68" s="116"/>
    </row>
    <row r="69" spans="2:15" ht="15" customHeight="1">
      <c r="B69" s="111"/>
      <c r="C69" s="112" t="s">
        <v>274</v>
      </c>
      <c r="D69" s="113"/>
      <c r="E69" s="114">
        <v>1</v>
      </c>
      <c r="F69" s="115">
        <v>10000</v>
      </c>
      <c r="G69" s="95">
        <f t="shared" si="5"/>
        <v>10000</v>
      </c>
      <c r="H69" s="114">
        <v>5000</v>
      </c>
      <c r="I69" s="95">
        <f t="shared" si="6"/>
        <v>15000</v>
      </c>
      <c r="J69" s="95"/>
      <c r="K69" s="116"/>
      <c r="L69" s="116"/>
      <c r="M69" s="116"/>
    </row>
    <row r="70" spans="2:15" ht="15" customHeight="1">
      <c r="B70" s="111"/>
      <c r="C70" s="112" t="s">
        <v>275</v>
      </c>
      <c r="D70" s="113"/>
      <c r="E70" s="114">
        <v>1</v>
      </c>
      <c r="F70" s="115">
        <v>20000</v>
      </c>
      <c r="G70" s="95">
        <f t="shared" si="5"/>
        <v>20000</v>
      </c>
      <c r="H70" s="114">
        <v>10000</v>
      </c>
      <c r="I70" s="95">
        <f t="shared" si="6"/>
        <v>30000</v>
      </c>
      <c r="J70" s="95"/>
      <c r="K70" s="116"/>
      <c r="L70" s="116"/>
      <c r="M70" s="116"/>
    </row>
    <row r="71" spans="2:15" ht="15" customHeight="1">
      <c r="B71" s="111"/>
      <c r="C71" s="112" t="s">
        <v>276</v>
      </c>
      <c r="D71" s="113"/>
      <c r="E71" s="114">
        <v>1</v>
      </c>
      <c r="F71" s="115"/>
      <c r="G71" s="95">
        <f t="shared" si="5"/>
        <v>0</v>
      </c>
      <c r="H71" s="114">
        <v>7000</v>
      </c>
      <c r="I71" s="95">
        <f t="shared" si="6"/>
        <v>7000</v>
      </c>
      <c r="J71" s="95"/>
      <c r="K71" s="116"/>
      <c r="L71" s="116"/>
      <c r="M71" s="116"/>
    </row>
    <row r="72" spans="2:15" ht="15" customHeight="1">
      <c r="B72" s="85"/>
      <c r="C72" s="86" t="s">
        <v>121</v>
      </c>
      <c r="D72" s="87"/>
      <c r="E72" s="88"/>
      <c r="F72" s="89"/>
      <c r="G72" s="88"/>
      <c r="H72" s="88"/>
      <c r="I72" s="74"/>
      <c r="J72" s="88">
        <f>SUM(I66:I71)</f>
        <v>182000</v>
      </c>
      <c r="K72" s="90"/>
      <c r="L72" s="90"/>
      <c r="M72" s="91"/>
    </row>
    <row r="73" spans="2:15" ht="15" customHeight="1">
      <c r="B73" s="111">
        <v>44012</v>
      </c>
      <c r="C73" s="112" t="s">
        <v>352</v>
      </c>
      <c r="D73" s="113"/>
      <c r="E73" s="114">
        <v>1</v>
      </c>
      <c r="F73" s="115">
        <v>70000</v>
      </c>
      <c r="G73" s="95">
        <f t="shared" si="5"/>
        <v>70000</v>
      </c>
      <c r="H73" s="114"/>
      <c r="I73" s="95">
        <f t="shared" si="6"/>
        <v>70000</v>
      </c>
      <c r="J73" s="95"/>
      <c r="K73" s="116">
        <v>176397</v>
      </c>
      <c r="L73" s="116" t="s">
        <v>353</v>
      </c>
      <c r="M73" s="116"/>
    </row>
    <row r="74" spans="2:15" ht="15" customHeight="1">
      <c r="B74" s="111"/>
      <c r="C74" s="112" t="s">
        <v>357</v>
      </c>
      <c r="D74" s="113"/>
      <c r="E74" s="114">
        <v>1</v>
      </c>
      <c r="F74" s="115">
        <v>7000</v>
      </c>
      <c r="G74" s="95">
        <f t="shared" si="5"/>
        <v>7000</v>
      </c>
      <c r="H74" s="114"/>
      <c r="I74" s="95">
        <f t="shared" si="6"/>
        <v>7000</v>
      </c>
      <c r="J74" s="95"/>
      <c r="K74" s="116"/>
      <c r="L74" s="116"/>
      <c r="M74" s="116"/>
    </row>
    <row r="75" spans="2:15" ht="15" customHeight="1">
      <c r="B75" s="111">
        <v>44013</v>
      </c>
      <c r="C75" s="112" t="s">
        <v>358</v>
      </c>
      <c r="D75" s="113"/>
      <c r="E75" s="114">
        <v>1</v>
      </c>
      <c r="F75" s="115">
        <v>65000</v>
      </c>
      <c r="G75" s="95">
        <f t="shared" si="5"/>
        <v>65000</v>
      </c>
      <c r="H75" s="114">
        <v>15000</v>
      </c>
      <c r="I75" s="95">
        <f t="shared" si="6"/>
        <v>80000</v>
      </c>
      <c r="J75" s="95"/>
      <c r="K75" s="116">
        <v>176430</v>
      </c>
      <c r="L75" s="116">
        <f>K75-K66</f>
        <v>7820</v>
      </c>
      <c r="M75" s="116"/>
    </row>
    <row r="76" spans="2:15" ht="15" customHeight="1">
      <c r="B76" s="111"/>
      <c r="C76" s="112" t="s">
        <v>360</v>
      </c>
      <c r="D76" s="113"/>
      <c r="E76" s="114">
        <v>1</v>
      </c>
      <c r="F76" s="115">
        <v>40000</v>
      </c>
      <c r="G76" s="95">
        <f t="shared" si="5"/>
        <v>40000</v>
      </c>
      <c r="H76" s="114">
        <v>5000</v>
      </c>
      <c r="I76" s="95">
        <f t="shared" si="6"/>
        <v>45000</v>
      </c>
      <c r="J76" s="95"/>
      <c r="K76" s="116"/>
      <c r="L76" s="116"/>
      <c r="M76" s="116"/>
    </row>
    <row r="77" spans="2:15" ht="15" customHeight="1">
      <c r="B77" s="111"/>
      <c r="C77" s="112" t="s">
        <v>359</v>
      </c>
      <c r="D77" s="113"/>
      <c r="E77" s="114">
        <v>1</v>
      </c>
      <c r="F77" s="115">
        <v>15000</v>
      </c>
      <c r="G77" s="95">
        <f t="shared" si="5"/>
        <v>15000</v>
      </c>
      <c r="H77" s="114">
        <v>5000</v>
      </c>
      <c r="I77" s="95">
        <f t="shared" si="6"/>
        <v>20000</v>
      </c>
      <c r="J77" s="95"/>
      <c r="K77" s="116"/>
      <c r="L77" s="116"/>
      <c r="M77" s="116"/>
    </row>
    <row r="78" spans="2:15" ht="15" customHeight="1">
      <c r="B78" s="111"/>
      <c r="C78" s="112" t="s">
        <v>361</v>
      </c>
      <c r="D78" s="113"/>
      <c r="E78" s="114">
        <v>1</v>
      </c>
      <c r="F78" s="115">
        <v>14000</v>
      </c>
      <c r="G78" s="95">
        <f t="shared" ref="G78:G85" si="7">E78*F78</f>
        <v>14000</v>
      </c>
      <c r="H78" s="114"/>
      <c r="I78" s="95">
        <f t="shared" ref="I78:I85" si="8">SUM(G78:H78)</f>
        <v>14000</v>
      </c>
      <c r="J78" s="95"/>
      <c r="K78" s="116"/>
      <c r="L78" s="116"/>
      <c r="M78" s="116"/>
    </row>
    <row r="79" spans="2:15" ht="15" customHeight="1">
      <c r="B79" s="85"/>
      <c r="C79" s="86" t="s">
        <v>121</v>
      </c>
      <c r="D79" s="87"/>
      <c r="E79" s="88"/>
      <c r="F79" s="89"/>
      <c r="G79" s="88"/>
      <c r="H79" s="88"/>
      <c r="I79" s="74"/>
      <c r="J79" s="88">
        <f>SUM(I73:I78)</f>
        <v>236000</v>
      </c>
      <c r="K79" s="90"/>
      <c r="L79" s="90"/>
      <c r="M79" s="91"/>
      <c r="O79" s="4"/>
    </row>
    <row r="80" spans="2:15" ht="15" customHeight="1">
      <c r="B80" s="111">
        <v>44414</v>
      </c>
      <c r="C80" s="112" t="s">
        <v>434</v>
      </c>
      <c r="D80" s="113"/>
      <c r="E80" s="114">
        <v>1</v>
      </c>
      <c r="F80" s="115">
        <v>39000</v>
      </c>
      <c r="G80" s="95">
        <f t="shared" si="7"/>
        <v>39000</v>
      </c>
      <c r="H80" s="114"/>
      <c r="I80" s="95">
        <f t="shared" si="8"/>
        <v>39000</v>
      </c>
      <c r="J80" s="95"/>
      <c r="K80" s="116"/>
      <c r="L80" s="116"/>
      <c r="M80" s="116"/>
    </row>
    <row r="81" spans="2:13" ht="15" customHeight="1">
      <c r="B81" s="111"/>
      <c r="C81" s="112" t="s">
        <v>435</v>
      </c>
      <c r="D81" s="113"/>
      <c r="E81" s="114">
        <v>1</v>
      </c>
      <c r="F81" s="115">
        <v>16000</v>
      </c>
      <c r="G81" s="95">
        <f t="shared" si="7"/>
        <v>16000</v>
      </c>
      <c r="H81" s="114"/>
      <c r="I81" s="95">
        <f t="shared" si="8"/>
        <v>16000</v>
      </c>
      <c r="J81" s="95"/>
      <c r="K81" s="116"/>
      <c r="L81" s="116"/>
      <c r="M81" s="116"/>
    </row>
    <row r="82" spans="2:13" ht="15" customHeight="1">
      <c r="B82" s="85"/>
      <c r="C82" s="86" t="s">
        <v>121</v>
      </c>
      <c r="D82" s="87"/>
      <c r="E82" s="88"/>
      <c r="F82" s="89"/>
      <c r="G82" s="88"/>
      <c r="H82" s="88"/>
      <c r="I82" s="74"/>
      <c r="J82" s="88">
        <f>SUM(I80:I81)</f>
        <v>55000</v>
      </c>
      <c r="K82" s="90"/>
      <c r="L82" s="90"/>
      <c r="M82" s="91"/>
    </row>
    <row r="83" spans="2:13" ht="15" customHeight="1">
      <c r="B83" s="111">
        <v>44520</v>
      </c>
      <c r="C83" s="112" t="s">
        <v>451</v>
      </c>
      <c r="D83" s="113"/>
      <c r="E83" s="114">
        <v>1</v>
      </c>
      <c r="F83" s="115">
        <v>5000</v>
      </c>
      <c r="G83" s="95">
        <f t="shared" si="7"/>
        <v>5000</v>
      </c>
      <c r="H83" s="114"/>
      <c r="I83" s="95">
        <f t="shared" si="8"/>
        <v>5000</v>
      </c>
      <c r="J83" s="95">
        <f>I83</f>
        <v>5000</v>
      </c>
      <c r="K83" s="116"/>
      <c r="L83" s="116"/>
      <c r="M83" s="116"/>
    </row>
    <row r="84" spans="2:13" ht="15" customHeight="1">
      <c r="B84" s="111"/>
      <c r="C84" s="112"/>
      <c r="D84" s="113"/>
      <c r="E84" s="114"/>
      <c r="F84" s="115"/>
      <c r="G84" s="95">
        <f t="shared" si="7"/>
        <v>0</v>
      </c>
      <c r="H84" s="114"/>
      <c r="I84" s="95">
        <f t="shared" si="8"/>
        <v>0</v>
      </c>
      <c r="J84" s="95"/>
      <c r="K84" s="116"/>
      <c r="L84" s="116"/>
      <c r="M84" s="116"/>
    </row>
    <row r="85" spans="2:13" ht="15" customHeight="1">
      <c r="B85" s="111">
        <v>44583</v>
      </c>
      <c r="C85" s="112" t="s">
        <v>459</v>
      </c>
      <c r="D85" s="113"/>
      <c r="E85" s="114">
        <v>1</v>
      </c>
      <c r="F85" s="115">
        <v>89000</v>
      </c>
      <c r="G85" s="95">
        <f t="shared" si="7"/>
        <v>89000</v>
      </c>
      <c r="H85" s="114"/>
      <c r="I85" s="95">
        <f t="shared" si="8"/>
        <v>89000</v>
      </c>
      <c r="J85" s="95">
        <f>I85</f>
        <v>89000</v>
      </c>
      <c r="K85" s="116">
        <v>185041</v>
      </c>
      <c r="L85" s="116">
        <f>K85-K75</f>
        <v>8611</v>
      </c>
      <c r="M85" s="116"/>
    </row>
    <row r="86" spans="2:13" ht="15" customHeight="1">
      <c r="B86" s="111"/>
      <c r="C86" s="112"/>
      <c r="D86" s="113"/>
      <c r="E86" s="114"/>
      <c r="F86" s="115"/>
      <c r="G86" s="95">
        <f t="shared" si="5"/>
        <v>0</v>
      </c>
      <c r="H86" s="114"/>
      <c r="I86" s="95">
        <f t="shared" si="6"/>
        <v>0</v>
      </c>
      <c r="J86" s="95"/>
      <c r="K86" s="116"/>
      <c r="L86" s="116"/>
      <c r="M86" s="116"/>
    </row>
    <row r="87" spans="2:13" ht="15" customHeight="1">
      <c r="B87" s="111">
        <v>44967</v>
      </c>
      <c r="C87" s="112" t="s">
        <v>518</v>
      </c>
      <c r="D87" s="113"/>
      <c r="E87" s="114">
        <v>1</v>
      </c>
      <c r="F87" s="115">
        <v>120000</v>
      </c>
      <c r="G87" s="95">
        <f t="shared" ref="G87:G88" si="9">E87*F87</f>
        <v>120000</v>
      </c>
      <c r="H87" s="114"/>
      <c r="I87" s="95">
        <f t="shared" ref="I87:I88" si="10">SUM(G87:H87)</f>
        <v>120000</v>
      </c>
      <c r="J87" s="95"/>
      <c r="K87" s="116"/>
      <c r="L87" s="116"/>
      <c r="M87" s="116"/>
    </row>
    <row r="88" spans="2:13" ht="15" customHeight="1">
      <c r="B88" s="111"/>
      <c r="C88" s="112"/>
      <c r="D88" s="113"/>
      <c r="E88" s="114"/>
      <c r="F88" s="115"/>
      <c r="G88" s="95">
        <f t="shared" si="9"/>
        <v>0</v>
      </c>
      <c r="H88" s="114"/>
      <c r="I88" s="95">
        <f t="shared" si="10"/>
        <v>0</v>
      </c>
      <c r="J88" s="95"/>
      <c r="K88" s="116"/>
      <c r="L88" s="116"/>
      <c r="M88" s="116"/>
    </row>
    <row r="89" spans="2:13">
      <c r="B89" s="117"/>
      <c r="C89" s="118"/>
      <c r="D89" s="119"/>
      <c r="E89" s="120"/>
      <c r="F89" s="121"/>
      <c r="G89" s="122">
        <f>E89*F89</f>
        <v>0</v>
      </c>
      <c r="H89" s="120"/>
      <c r="I89" s="122">
        <f>SUM(G89:H89)</f>
        <v>0</v>
      </c>
      <c r="J89" s="123"/>
      <c r="K89" s="123"/>
      <c r="L89" s="123"/>
      <c r="M89" s="123"/>
    </row>
    <row r="90" spans="2:13">
      <c r="B90" s="124" t="s">
        <v>105</v>
      </c>
      <c r="C90" s="125"/>
      <c r="D90" s="126"/>
      <c r="E90" s="126"/>
      <c r="F90" s="127"/>
      <c r="G90" s="126">
        <f>SUM(G6:G89)</f>
        <v>3387670</v>
      </c>
      <c r="H90" s="126">
        <f>SUM(H6:H89)</f>
        <v>359400</v>
      </c>
      <c r="I90" s="126">
        <f>SUM(I6:I89)</f>
        <v>3889070</v>
      </c>
      <c r="J90" s="126">
        <f>SUM(J6:J89)</f>
        <v>3769070</v>
      </c>
      <c r="K90" s="128">
        <f>MAX(K6:K89)</f>
        <v>185041</v>
      </c>
      <c r="L90" s="128"/>
      <c r="M90" s="126"/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86"/>
  <sheetViews>
    <sheetView workbookViewId="0">
      <pane xSplit="2" ySplit="4" topLeftCell="C5" activePane="bottomRight" state="frozen"/>
      <selection pane="topRight" activeCell="C1" sqref="C1"/>
      <selection pane="bottomLeft" activeCell="A6" sqref="A6"/>
      <selection pane="bottomRight" activeCell="I14" sqref="I14"/>
    </sheetView>
  </sheetViews>
  <sheetFormatPr defaultColWidth="10.28515625" defaultRowHeight="13.5"/>
  <cols>
    <col min="1" max="1" width="2.28515625" customWidth="1"/>
    <col min="2" max="2" width="14.85546875" customWidth="1"/>
    <col min="3" max="3" width="42.42578125" customWidth="1"/>
    <col min="4" max="4" width="36.28515625" bestFit="1" customWidth="1"/>
    <col min="5" max="5" width="9.7109375" bestFit="1" customWidth="1"/>
    <col min="6" max="6" width="11.28515625" bestFit="1" customWidth="1"/>
    <col min="7" max="7" width="9.7109375" bestFit="1" customWidth="1"/>
    <col min="8" max="8" width="9.42578125" bestFit="1" customWidth="1"/>
    <col min="9" max="10" width="11.85546875" bestFit="1" customWidth="1"/>
    <col min="11" max="11" width="9.42578125" bestFit="1" customWidth="1"/>
    <col min="12" max="12" width="20" bestFit="1" customWidth="1"/>
  </cols>
  <sheetData>
    <row r="1" spans="2:13" ht="12" customHeight="1"/>
    <row r="2" spans="2:13" ht="31.5">
      <c r="B2" s="162" t="s">
        <v>374</v>
      </c>
      <c r="C2" s="162"/>
      <c r="D2" s="162"/>
      <c r="E2" s="162"/>
    </row>
    <row r="3" spans="2:13" ht="19.5" customHeight="1">
      <c r="F3" s="3"/>
      <c r="G3" s="34"/>
      <c r="H3" s="34"/>
      <c r="I3" s="34"/>
      <c r="J3" s="34"/>
    </row>
    <row r="4" spans="2:13" ht="22.5" customHeight="1">
      <c r="B4" s="168" t="s">
        <v>107</v>
      </c>
      <c r="C4" s="170" t="s">
        <v>378</v>
      </c>
      <c r="D4" s="172" t="s">
        <v>109</v>
      </c>
      <c r="E4" s="173" t="s">
        <v>377</v>
      </c>
      <c r="F4" s="171" t="s">
        <v>376</v>
      </c>
      <c r="G4" s="173" t="s">
        <v>380</v>
      </c>
      <c r="H4" s="173" t="s">
        <v>381</v>
      </c>
      <c r="I4" s="170" t="s">
        <v>382</v>
      </c>
      <c r="J4" s="164"/>
      <c r="K4" s="163"/>
      <c r="L4" s="164"/>
      <c r="M4" s="166"/>
    </row>
    <row r="5" spans="2:13" ht="15" customHeight="1">
      <c r="B5" s="183">
        <v>44048.158333333333</v>
      </c>
      <c r="C5" s="60" t="s">
        <v>375</v>
      </c>
      <c r="D5" s="61" t="s">
        <v>379</v>
      </c>
      <c r="E5" s="185">
        <v>32000</v>
      </c>
      <c r="F5" s="184">
        <v>44088</v>
      </c>
      <c r="G5" s="185">
        <v>40000</v>
      </c>
      <c r="H5" s="184"/>
      <c r="I5" s="62">
        <f ca="1">IF(F5&lt;NOW(),G5,E5)</f>
        <v>40000</v>
      </c>
      <c r="J5" s="63"/>
      <c r="K5" s="63"/>
      <c r="L5" s="63"/>
      <c r="M5" s="64"/>
    </row>
    <row r="6" spans="2:13" ht="15" customHeight="1">
      <c r="B6" s="65"/>
      <c r="C6" s="66"/>
      <c r="D6" s="67"/>
      <c r="E6" s="68"/>
      <c r="F6" s="68"/>
      <c r="G6" s="68"/>
      <c r="H6" s="68"/>
      <c r="I6" s="68"/>
      <c r="J6" s="80"/>
      <c r="K6" s="69"/>
      <c r="L6" s="69"/>
      <c r="M6" s="70"/>
    </row>
    <row r="7" spans="2:13" ht="15" customHeight="1">
      <c r="B7" s="65"/>
      <c r="C7" s="66"/>
      <c r="D7" s="67"/>
      <c r="E7" s="68"/>
      <c r="F7" s="68"/>
      <c r="G7" s="68"/>
      <c r="H7" s="68"/>
      <c r="I7" s="68"/>
      <c r="J7" s="80"/>
      <c r="K7" s="69"/>
      <c r="L7" s="69"/>
      <c r="M7" s="70"/>
    </row>
    <row r="8" spans="2:13" s="190" customFormat="1" ht="15" customHeight="1">
      <c r="B8" s="186"/>
      <c r="C8" s="187"/>
      <c r="D8" s="188"/>
      <c r="E8" s="97"/>
      <c r="F8" s="97"/>
      <c r="G8" s="97"/>
      <c r="H8" s="97"/>
      <c r="I8" s="97"/>
      <c r="J8" s="95"/>
      <c r="K8" s="98"/>
      <c r="L8" s="98"/>
      <c r="M8" s="189"/>
    </row>
    <row r="9" spans="2:13" s="190" customFormat="1" ht="15" customHeight="1">
      <c r="B9" s="186"/>
      <c r="C9" s="187"/>
      <c r="D9" s="188"/>
      <c r="E9" s="97"/>
      <c r="F9" s="97"/>
      <c r="G9" s="97"/>
      <c r="H9" s="97"/>
      <c r="I9" s="97"/>
      <c r="J9" s="95"/>
      <c r="K9" s="98"/>
      <c r="L9" s="98"/>
      <c r="M9" s="189"/>
    </row>
    <row r="10" spans="2:13" s="190" customFormat="1" ht="15" customHeight="1">
      <c r="B10" s="186"/>
      <c r="C10" s="187"/>
      <c r="D10" s="188"/>
      <c r="E10" s="97"/>
      <c r="F10" s="97"/>
      <c r="G10" s="97"/>
      <c r="H10" s="97"/>
      <c r="I10" s="97"/>
      <c r="J10" s="95"/>
      <c r="K10" s="98"/>
      <c r="L10" s="98"/>
      <c r="M10" s="189"/>
    </row>
    <row r="11" spans="2:13" s="190" customFormat="1" ht="15" customHeight="1">
      <c r="B11" s="186"/>
      <c r="C11" s="187"/>
      <c r="D11" s="188"/>
      <c r="E11" s="97"/>
      <c r="F11" s="97"/>
      <c r="G11" s="97"/>
      <c r="H11" s="97"/>
      <c r="I11" s="97"/>
      <c r="J11" s="95"/>
      <c r="K11" s="98"/>
      <c r="L11" s="98"/>
      <c r="M11" s="189"/>
    </row>
    <row r="12" spans="2:13" s="190" customFormat="1" ht="15" customHeight="1">
      <c r="B12" s="186"/>
      <c r="C12" s="187"/>
      <c r="D12" s="188"/>
      <c r="E12" s="97"/>
      <c r="F12" s="97"/>
      <c r="G12" s="97"/>
      <c r="H12" s="97"/>
      <c r="I12" s="97"/>
      <c r="J12" s="95"/>
      <c r="K12" s="98"/>
      <c r="L12" s="98"/>
      <c r="M12" s="189"/>
    </row>
    <row r="13" spans="2:13" s="190" customFormat="1" ht="15" customHeight="1">
      <c r="B13" s="92"/>
      <c r="C13" s="93"/>
      <c r="D13" s="191"/>
      <c r="E13" s="95"/>
      <c r="F13" s="95"/>
      <c r="G13" s="95"/>
      <c r="H13" s="95"/>
      <c r="I13" s="97"/>
      <c r="J13" s="95"/>
      <c r="K13" s="99"/>
      <c r="L13" s="99"/>
      <c r="M13" s="100"/>
    </row>
    <row r="14" spans="2:13" s="190" customFormat="1" ht="15" customHeight="1">
      <c r="B14" s="92"/>
      <c r="C14" s="93"/>
      <c r="D14" s="191"/>
      <c r="E14" s="95"/>
      <c r="F14" s="96"/>
      <c r="G14" s="95"/>
      <c r="H14" s="95"/>
      <c r="I14" s="97"/>
      <c r="J14" s="95"/>
      <c r="K14" s="99"/>
      <c r="L14" s="99"/>
      <c r="M14" s="100"/>
    </row>
    <row r="15" spans="2:13" s="190" customFormat="1" ht="15" customHeight="1">
      <c r="B15" s="92"/>
      <c r="C15" s="93"/>
      <c r="D15" s="191"/>
      <c r="E15" s="95"/>
      <c r="F15" s="96"/>
      <c r="G15" s="95"/>
      <c r="H15" s="95"/>
      <c r="I15" s="97"/>
      <c r="J15" s="95"/>
      <c r="K15" s="99"/>
      <c r="L15" s="99"/>
      <c r="M15" s="100"/>
    </row>
    <row r="16" spans="2:13" s="190" customFormat="1" ht="15" customHeight="1">
      <c r="B16" s="92"/>
      <c r="C16" s="93"/>
      <c r="D16" s="94"/>
      <c r="E16" s="95"/>
      <c r="F16" s="96"/>
      <c r="G16" s="95"/>
      <c r="H16" s="95"/>
      <c r="I16" s="97"/>
      <c r="J16" s="95"/>
      <c r="K16" s="99"/>
      <c r="L16" s="99"/>
      <c r="M16" s="100"/>
    </row>
    <row r="17" spans="2:13" s="190" customFormat="1" ht="15" customHeight="1">
      <c r="B17" s="92"/>
      <c r="C17" s="93"/>
      <c r="D17" s="94"/>
      <c r="E17" s="95"/>
      <c r="F17" s="96"/>
      <c r="G17" s="95"/>
      <c r="H17" s="95"/>
      <c r="I17" s="97"/>
      <c r="J17" s="95"/>
      <c r="K17" s="99"/>
      <c r="L17" s="99"/>
      <c r="M17" s="100"/>
    </row>
    <row r="18" spans="2:13" s="190" customFormat="1" ht="15" customHeight="1">
      <c r="B18" s="92"/>
      <c r="C18" s="93"/>
      <c r="D18" s="94"/>
      <c r="E18" s="95"/>
      <c r="F18" s="96"/>
      <c r="G18" s="95"/>
      <c r="H18" s="95"/>
      <c r="I18" s="97"/>
      <c r="J18" s="95"/>
      <c r="K18" s="98"/>
      <c r="L18" s="99"/>
      <c r="M18" s="100"/>
    </row>
    <row r="19" spans="2:13" s="190" customFormat="1" ht="15" customHeight="1">
      <c r="B19" s="92"/>
      <c r="C19" s="93"/>
      <c r="D19" s="94"/>
      <c r="E19" s="95"/>
      <c r="F19" s="96"/>
      <c r="G19" s="95"/>
      <c r="H19" s="95"/>
      <c r="I19" s="97"/>
      <c r="J19" s="95"/>
      <c r="K19" s="99"/>
      <c r="L19" s="99"/>
      <c r="M19" s="100"/>
    </row>
    <row r="20" spans="2:13" s="190" customFormat="1" ht="15" customHeight="1">
      <c r="B20" s="92"/>
      <c r="C20" s="93"/>
      <c r="D20" s="94"/>
      <c r="E20" s="95"/>
      <c r="F20" s="96"/>
      <c r="G20" s="95"/>
      <c r="H20" s="95"/>
      <c r="I20" s="97"/>
      <c r="J20" s="95"/>
      <c r="K20" s="98"/>
      <c r="L20" s="99"/>
      <c r="M20" s="100"/>
    </row>
    <row r="21" spans="2:13" s="190" customFormat="1" ht="15" customHeight="1">
      <c r="B21" s="92"/>
      <c r="C21" s="93"/>
      <c r="D21" s="94"/>
      <c r="E21" s="95"/>
      <c r="F21" s="96"/>
      <c r="G21" s="95"/>
      <c r="H21" s="95"/>
      <c r="I21" s="97"/>
      <c r="J21" s="95"/>
      <c r="K21" s="99"/>
      <c r="L21" s="99"/>
      <c r="M21" s="100"/>
    </row>
    <row r="22" spans="2:13" s="190" customFormat="1" ht="15" customHeight="1">
      <c r="B22" s="92"/>
      <c r="C22" s="93"/>
      <c r="D22" s="94"/>
      <c r="E22" s="95"/>
      <c r="F22" s="96"/>
      <c r="G22" s="95"/>
      <c r="H22" s="95"/>
      <c r="I22" s="97"/>
      <c r="J22" s="95"/>
      <c r="K22" s="99"/>
      <c r="L22" s="99"/>
      <c r="M22" s="100"/>
    </row>
    <row r="23" spans="2:13" s="190" customFormat="1" ht="15" customHeight="1">
      <c r="B23" s="92"/>
      <c r="C23" s="93"/>
      <c r="D23" s="94"/>
      <c r="E23" s="95"/>
      <c r="F23" s="96"/>
      <c r="G23" s="95"/>
      <c r="H23" s="95"/>
      <c r="I23" s="97"/>
      <c r="J23" s="95"/>
      <c r="K23" s="99"/>
      <c r="L23" s="99"/>
      <c r="M23" s="100"/>
    </row>
    <row r="24" spans="2:13" s="190" customFormat="1" ht="15" customHeight="1">
      <c r="B24" s="92"/>
      <c r="C24" s="93"/>
      <c r="D24" s="94"/>
      <c r="E24" s="95"/>
      <c r="F24" s="96"/>
      <c r="G24" s="95"/>
      <c r="H24" s="95"/>
      <c r="I24" s="97"/>
      <c r="J24" s="95"/>
      <c r="K24" s="99"/>
      <c r="L24" s="99"/>
      <c r="M24" s="100"/>
    </row>
    <row r="25" spans="2:13" s="190" customFormat="1" ht="15" customHeight="1">
      <c r="B25" s="92"/>
      <c r="C25" s="93"/>
      <c r="D25" s="94"/>
      <c r="E25" s="95"/>
      <c r="F25" s="96"/>
      <c r="G25" s="95"/>
      <c r="H25" s="95"/>
      <c r="I25" s="97"/>
      <c r="J25" s="95"/>
      <c r="K25" s="99"/>
      <c r="L25" s="99"/>
      <c r="M25" s="100"/>
    </row>
    <row r="26" spans="2:13" s="190" customFormat="1" ht="15" customHeight="1">
      <c r="B26" s="92"/>
      <c r="C26" s="93"/>
      <c r="D26" s="94"/>
      <c r="E26" s="95"/>
      <c r="F26" s="96"/>
      <c r="G26" s="95"/>
      <c r="H26" s="95"/>
      <c r="I26" s="97"/>
      <c r="J26" s="95"/>
      <c r="K26" s="99"/>
      <c r="L26" s="99"/>
      <c r="M26" s="100"/>
    </row>
    <row r="27" spans="2:13" s="190" customFormat="1" ht="15" customHeight="1">
      <c r="B27" s="92"/>
      <c r="C27" s="93"/>
      <c r="D27" s="94"/>
      <c r="E27" s="95"/>
      <c r="F27" s="96"/>
      <c r="G27" s="95"/>
      <c r="H27" s="95"/>
      <c r="I27" s="97"/>
      <c r="J27" s="95"/>
      <c r="K27" s="100"/>
      <c r="L27" s="100"/>
      <c r="M27" s="100"/>
    </row>
    <row r="28" spans="2:13" s="190" customFormat="1" ht="15" customHeight="1">
      <c r="B28" s="92"/>
      <c r="C28" s="112"/>
      <c r="D28" s="113"/>
      <c r="E28" s="114"/>
      <c r="F28" s="115"/>
      <c r="G28" s="95"/>
      <c r="H28" s="114"/>
      <c r="I28" s="97"/>
      <c r="J28" s="95"/>
      <c r="K28" s="116"/>
      <c r="L28" s="116"/>
      <c r="M28" s="116"/>
    </row>
    <row r="29" spans="2:13" s="190" customFormat="1" ht="15" customHeight="1">
      <c r="B29" s="92"/>
      <c r="C29" s="93"/>
      <c r="D29" s="191"/>
      <c r="E29" s="95"/>
      <c r="F29" s="95"/>
      <c r="G29" s="95"/>
      <c r="H29" s="114"/>
      <c r="I29" s="97"/>
      <c r="J29" s="95"/>
      <c r="K29" s="116"/>
      <c r="L29" s="116"/>
      <c r="M29" s="116"/>
    </row>
    <row r="30" spans="2:13" s="190" customFormat="1" ht="15" customHeight="1">
      <c r="B30" s="92"/>
      <c r="C30" s="93"/>
      <c r="D30" s="191"/>
      <c r="E30" s="95"/>
      <c r="F30" s="96"/>
      <c r="G30" s="95"/>
      <c r="H30" s="114"/>
      <c r="I30" s="97"/>
      <c r="J30" s="95"/>
      <c r="K30" s="116"/>
      <c r="L30" s="116"/>
      <c r="M30" s="116"/>
    </row>
    <row r="31" spans="2:13" s="190" customFormat="1" ht="15" customHeight="1">
      <c r="B31" s="92"/>
      <c r="C31" s="93"/>
      <c r="D31" s="191"/>
      <c r="E31" s="95"/>
      <c r="F31" s="96"/>
      <c r="G31" s="95"/>
      <c r="H31" s="114"/>
      <c r="I31" s="97"/>
      <c r="J31" s="95"/>
      <c r="K31" s="116"/>
      <c r="L31" s="116"/>
      <c r="M31" s="116"/>
    </row>
    <row r="32" spans="2:13" s="190" customFormat="1" ht="15" customHeight="1">
      <c r="B32" s="92"/>
      <c r="C32" s="93"/>
      <c r="D32" s="94"/>
      <c r="E32" s="95"/>
      <c r="F32" s="96"/>
      <c r="G32" s="95"/>
      <c r="H32" s="114"/>
      <c r="I32" s="97"/>
      <c r="J32" s="95"/>
      <c r="K32" s="116"/>
      <c r="L32" s="116"/>
      <c r="M32" s="116"/>
    </row>
    <row r="33" spans="2:13" s="190" customFormat="1" ht="15" customHeight="1">
      <c r="B33" s="92"/>
      <c r="C33" s="112"/>
      <c r="D33" s="113"/>
      <c r="E33" s="114"/>
      <c r="F33" s="115"/>
      <c r="G33" s="95"/>
      <c r="H33" s="114"/>
      <c r="I33" s="97"/>
      <c r="J33" s="95"/>
      <c r="K33" s="116"/>
      <c r="L33" s="116"/>
      <c r="M33" s="116"/>
    </row>
    <row r="34" spans="2:13" s="190" customFormat="1" ht="15" customHeight="1">
      <c r="B34" s="111"/>
      <c r="C34" s="112"/>
      <c r="D34" s="113"/>
      <c r="E34" s="114"/>
      <c r="F34" s="115"/>
      <c r="G34" s="95"/>
      <c r="H34" s="114"/>
      <c r="I34" s="97"/>
      <c r="J34" s="95"/>
      <c r="K34" s="116"/>
      <c r="L34" s="116"/>
      <c r="M34" s="116"/>
    </row>
    <row r="35" spans="2:13" s="190" customFormat="1" ht="15" customHeight="1">
      <c r="B35" s="92"/>
      <c r="C35" s="93"/>
      <c r="D35" s="94"/>
      <c r="E35" s="95"/>
      <c r="F35" s="96"/>
      <c r="G35" s="95"/>
      <c r="H35" s="95"/>
      <c r="I35" s="97"/>
      <c r="J35" s="95"/>
      <c r="K35" s="99"/>
      <c r="L35" s="99"/>
      <c r="M35" s="100"/>
    </row>
    <row r="36" spans="2:13" s="190" customFormat="1" ht="15" customHeight="1">
      <c r="B36" s="111"/>
      <c r="C36" s="112"/>
      <c r="D36" s="113"/>
      <c r="E36" s="114"/>
      <c r="F36" s="115"/>
      <c r="G36" s="95"/>
      <c r="H36" s="114"/>
      <c r="I36" s="95"/>
      <c r="J36" s="95"/>
      <c r="K36" s="116"/>
      <c r="L36" s="116"/>
      <c r="M36" s="116"/>
    </row>
    <row r="37" spans="2:13" s="190" customFormat="1" ht="15" customHeight="1">
      <c r="B37" s="111"/>
      <c r="C37" s="112"/>
      <c r="D37" s="113"/>
      <c r="E37" s="114"/>
      <c r="F37" s="115"/>
      <c r="G37" s="95"/>
      <c r="H37" s="114"/>
      <c r="I37" s="95"/>
      <c r="J37" s="95"/>
      <c r="K37" s="116"/>
      <c r="L37" s="116"/>
      <c r="M37" s="116"/>
    </row>
    <row r="38" spans="2:13" s="190" customFormat="1" ht="15" customHeight="1">
      <c r="B38" s="92"/>
      <c r="C38" s="93"/>
      <c r="D38" s="94"/>
      <c r="E38" s="95"/>
      <c r="F38" s="96"/>
      <c r="G38" s="95"/>
      <c r="H38" s="95"/>
      <c r="I38" s="97"/>
      <c r="J38" s="95"/>
      <c r="K38" s="99"/>
      <c r="L38" s="99"/>
      <c r="M38" s="100"/>
    </row>
    <row r="39" spans="2:13" s="190" customFormat="1" ht="15" customHeight="1">
      <c r="B39" s="111"/>
      <c r="C39" s="112"/>
      <c r="D39" s="113"/>
      <c r="E39" s="114"/>
      <c r="F39" s="115"/>
      <c r="G39" s="95"/>
      <c r="H39" s="114"/>
      <c r="I39" s="95"/>
      <c r="J39" s="95"/>
      <c r="K39" s="116"/>
      <c r="L39" s="116"/>
      <c r="M39" s="116"/>
    </row>
    <row r="40" spans="2:13" s="190" customFormat="1" ht="15" customHeight="1">
      <c r="B40" s="92"/>
      <c r="C40" s="93"/>
      <c r="D40" s="94"/>
      <c r="E40" s="95"/>
      <c r="F40" s="96"/>
      <c r="G40" s="95"/>
      <c r="H40" s="95"/>
      <c r="I40" s="97"/>
      <c r="J40" s="95"/>
      <c r="K40" s="99"/>
      <c r="L40" s="99"/>
      <c r="M40" s="100"/>
    </row>
    <row r="41" spans="2:13" s="190" customFormat="1" ht="15" customHeight="1">
      <c r="B41" s="111"/>
      <c r="C41" s="112"/>
      <c r="D41" s="113"/>
      <c r="E41" s="114"/>
      <c r="F41" s="115"/>
      <c r="G41" s="95"/>
      <c r="H41" s="114"/>
      <c r="I41" s="95"/>
      <c r="J41" s="95"/>
      <c r="K41" s="116"/>
      <c r="L41" s="116"/>
      <c r="M41" s="116"/>
    </row>
    <row r="42" spans="2:13" s="190" customFormat="1" ht="15" customHeight="1">
      <c r="B42" s="111"/>
      <c r="C42" s="112"/>
      <c r="D42" s="113"/>
      <c r="E42" s="114"/>
      <c r="F42" s="115"/>
      <c r="G42" s="95"/>
      <c r="H42" s="114"/>
      <c r="I42" s="95"/>
      <c r="J42" s="95"/>
      <c r="K42" s="116"/>
      <c r="L42" s="116"/>
      <c r="M42" s="116"/>
    </row>
    <row r="43" spans="2:13" s="190" customFormat="1" ht="15" customHeight="1">
      <c r="B43" s="111"/>
      <c r="C43" s="112"/>
      <c r="D43" s="113"/>
      <c r="E43" s="114"/>
      <c r="F43" s="115"/>
      <c r="G43" s="95"/>
      <c r="H43" s="114"/>
      <c r="I43" s="95"/>
      <c r="J43" s="95"/>
      <c r="K43" s="116"/>
      <c r="L43" s="116"/>
      <c r="M43" s="116"/>
    </row>
    <row r="44" spans="2:13" s="190" customFormat="1" ht="15" customHeight="1">
      <c r="B44" s="92"/>
      <c r="C44" s="93"/>
      <c r="D44" s="94"/>
      <c r="E44" s="95"/>
      <c r="F44" s="96"/>
      <c r="G44" s="95"/>
      <c r="H44" s="95"/>
      <c r="I44" s="97"/>
      <c r="J44" s="95"/>
      <c r="K44" s="99"/>
      <c r="L44" s="99"/>
      <c r="M44" s="100"/>
    </row>
    <row r="45" spans="2:13" s="190" customFormat="1" ht="15" customHeight="1">
      <c r="B45" s="111"/>
      <c r="C45" s="112"/>
      <c r="D45" s="113"/>
      <c r="E45" s="114"/>
      <c r="F45" s="115"/>
      <c r="G45" s="95"/>
      <c r="H45" s="114"/>
      <c r="I45" s="95"/>
      <c r="J45" s="95"/>
      <c r="K45" s="116"/>
      <c r="L45" s="116"/>
      <c r="M45" s="116"/>
    </row>
    <row r="46" spans="2:13" s="190" customFormat="1" ht="15" customHeight="1">
      <c r="B46" s="92"/>
      <c r="C46" s="93"/>
      <c r="D46" s="94"/>
      <c r="E46" s="95"/>
      <c r="F46" s="96"/>
      <c r="G46" s="95"/>
      <c r="H46" s="95"/>
      <c r="I46" s="97"/>
      <c r="J46" s="95"/>
      <c r="K46" s="99"/>
      <c r="L46" s="99"/>
      <c r="M46" s="100"/>
    </row>
    <row r="47" spans="2:13" s="190" customFormat="1" ht="15" customHeight="1">
      <c r="B47" s="111"/>
      <c r="C47" s="112"/>
      <c r="D47" s="113"/>
      <c r="E47" s="114"/>
      <c r="F47" s="115"/>
      <c r="G47" s="95"/>
      <c r="H47" s="114"/>
      <c r="I47" s="95"/>
      <c r="J47" s="95"/>
      <c r="K47" s="116"/>
      <c r="L47" s="116"/>
      <c r="M47" s="116"/>
    </row>
    <row r="48" spans="2:13" s="190" customFormat="1" ht="15" customHeight="1">
      <c r="B48" s="92"/>
      <c r="C48" s="93"/>
      <c r="D48" s="94"/>
      <c r="E48" s="95"/>
      <c r="F48" s="96"/>
      <c r="G48" s="95"/>
      <c r="H48" s="95"/>
      <c r="I48" s="97"/>
      <c r="J48" s="95"/>
      <c r="K48" s="99"/>
      <c r="L48" s="99"/>
      <c r="M48" s="100"/>
    </row>
    <row r="49" spans="2:13" s="190" customFormat="1" ht="15" customHeight="1">
      <c r="B49" s="111"/>
      <c r="C49" s="112"/>
      <c r="D49" s="113"/>
      <c r="E49" s="114"/>
      <c r="F49" s="115"/>
      <c r="G49" s="95"/>
      <c r="H49" s="114"/>
      <c r="I49" s="95"/>
      <c r="J49" s="95"/>
      <c r="K49" s="116"/>
      <c r="L49" s="116"/>
      <c r="M49" s="116"/>
    </row>
    <row r="50" spans="2:13" s="190" customFormat="1" ht="15" customHeight="1">
      <c r="B50" s="111"/>
      <c r="C50" s="112"/>
      <c r="D50" s="113"/>
      <c r="E50" s="114"/>
      <c r="F50" s="115"/>
      <c r="G50" s="95"/>
      <c r="H50" s="114"/>
      <c r="I50" s="95"/>
      <c r="J50" s="95"/>
      <c r="K50" s="116"/>
      <c r="L50" s="116"/>
      <c r="M50" s="116"/>
    </row>
    <row r="51" spans="2:13" s="190" customFormat="1" ht="15" customHeight="1">
      <c r="B51" s="111"/>
      <c r="C51" s="112"/>
      <c r="D51" s="113"/>
      <c r="E51" s="114"/>
      <c r="F51" s="115"/>
      <c r="G51" s="95"/>
      <c r="H51" s="114"/>
      <c r="I51" s="95"/>
      <c r="J51" s="95"/>
      <c r="K51" s="116"/>
      <c r="L51" s="116"/>
      <c r="M51" s="116"/>
    </row>
    <row r="52" spans="2:13" s="190" customFormat="1" ht="15" customHeight="1">
      <c r="B52" s="92"/>
      <c r="C52" s="93"/>
      <c r="D52" s="94"/>
      <c r="E52" s="95"/>
      <c r="F52" s="96"/>
      <c r="G52" s="95"/>
      <c r="H52" s="95"/>
      <c r="I52" s="97"/>
      <c r="J52" s="95"/>
      <c r="K52" s="99"/>
      <c r="L52" s="99"/>
      <c r="M52" s="100"/>
    </row>
    <row r="53" spans="2:13" s="190" customFormat="1" ht="15" customHeight="1">
      <c r="B53" s="111"/>
      <c r="C53" s="112"/>
      <c r="D53" s="113"/>
      <c r="E53" s="114"/>
      <c r="F53" s="115"/>
      <c r="G53" s="95"/>
      <c r="H53" s="114"/>
      <c r="I53" s="95"/>
      <c r="J53" s="95"/>
      <c r="K53" s="116"/>
      <c r="L53" s="116"/>
      <c r="M53" s="116"/>
    </row>
    <row r="54" spans="2:13" s="190" customFormat="1" ht="15" customHeight="1">
      <c r="B54" s="92"/>
      <c r="C54" s="93"/>
      <c r="D54" s="94"/>
      <c r="E54" s="95"/>
      <c r="F54" s="96"/>
      <c r="G54" s="95"/>
      <c r="H54" s="95"/>
      <c r="I54" s="97"/>
      <c r="J54" s="95"/>
      <c r="K54" s="99"/>
      <c r="L54" s="99"/>
      <c r="M54" s="100"/>
    </row>
    <row r="55" spans="2:13" s="190" customFormat="1" ht="15" customHeight="1">
      <c r="B55" s="111"/>
      <c r="C55" s="112"/>
      <c r="D55" s="113"/>
      <c r="E55" s="114"/>
      <c r="F55" s="115"/>
      <c r="G55" s="95"/>
      <c r="H55" s="114"/>
      <c r="I55" s="95"/>
      <c r="J55" s="95"/>
      <c r="K55" s="116"/>
      <c r="L55" s="116"/>
      <c r="M55" s="116"/>
    </row>
    <row r="56" spans="2:13" s="190" customFormat="1" ht="15" customHeight="1">
      <c r="B56" s="111"/>
      <c r="C56" s="112"/>
      <c r="D56" s="113"/>
      <c r="E56" s="114"/>
      <c r="F56" s="115"/>
      <c r="G56" s="95"/>
      <c r="H56" s="114"/>
      <c r="I56" s="95"/>
      <c r="J56" s="95"/>
      <c r="K56" s="116"/>
      <c r="L56" s="116"/>
      <c r="M56" s="116"/>
    </row>
    <row r="57" spans="2:13" s="190" customFormat="1" ht="15" customHeight="1">
      <c r="B57" s="111"/>
      <c r="C57" s="112"/>
      <c r="D57" s="113"/>
      <c r="E57" s="114"/>
      <c r="F57" s="115"/>
      <c r="G57" s="95"/>
      <c r="H57" s="114"/>
      <c r="I57" s="95"/>
      <c r="J57" s="95"/>
      <c r="K57" s="116"/>
      <c r="L57" s="116"/>
      <c r="M57" s="116"/>
    </row>
    <row r="58" spans="2:13" s="190" customFormat="1" ht="15" customHeight="1">
      <c r="B58" s="111"/>
      <c r="C58" s="112"/>
      <c r="D58" s="113"/>
      <c r="E58" s="114"/>
      <c r="F58" s="115"/>
      <c r="G58" s="95"/>
      <c r="H58" s="114"/>
      <c r="I58" s="95"/>
      <c r="J58" s="95"/>
      <c r="K58" s="116"/>
      <c r="L58" s="116"/>
      <c r="M58" s="116"/>
    </row>
    <row r="59" spans="2:13" s="190" customFormat="1" ht="15" customHeight="1">
      <c r="B59" s="111"/>
      <c r="C59" s="112"/>
      <c r="D59" s="113"/>
      <c r="E59" s="114"/>
      <c r="F59" s="115"/>
      <c r="G59" s="95"/>
      <c r="H59" s="114"/>
      <c r="I59" s="95"/>
      <c r="J59" s="95"/>
      <c r="K59" s="116"/>
      <c r="L59" s="116"/>
      <c r="M59" s="116"/>
    </row>
    <row r="60" spans="2:13" s="190" customFormat="1" ht="15" customHeight="1">
      <c r="B60" s="111"/>
      <c r="C60" s="112"/>
      <c r="D60" s="113"/>
      <c r="E60" s="114"/>
      <c r="F60" s="115"/>
      <c r="G60" s="95"/>
      <c r="H60" s="114"/>
      <c r="I60" s="95"/>
      <c r="J60" s="95"/>
      <c r="K60" s="116"/>
      <c r="L60" s="116"/>
      <c r="M60" s="116"/>
    </row>
    <row r="61" spans="2:13" s="190" customFormat="1" ht="15" customHeight="1">
      <c r="B61" s="111"/>
      <c r="C61" s="112"/>
      <c r="D61" s="113"/>
      <c r="E61" s="114"/>
      <c r="F61" s="115"/>
      <c r="G61" s="95"/>
      <c r="H61" s="114"/>
      <c r="I61" s="95"/>
      <c r="J61" s="95"/>
      <c r="K61" s="116"/>
      <c r="L61" s="116"/>
      <c r="M61" s="116"/>
    </row>
    <row r="62" spans="2:13" s="190" customFormat="1" ht="15" customHeight="1">
      <c r="B62" s="111"/>
      <c r="C62" s="112"/>
      <c r="D62" s="113"/>
      <c r="E62" s="114"/>
      <c r="F62" s="115"/>
      <c r="G62" s="95"/>
      <c r="H62" s="114"/>
      <c r="I62" s="95"/>
      <c r="J62" s="95"/>
      <c r="K62" s="116"/>
      <c r="L62" s="116"/>
      <c r="M62" s="116"/>
    </row>
    <row r="63" spans="2:13" s="190" customFormat="1" ht="15" customHeight="1">
      <c r="B63" s="92"/>
      <c r="C63" s="93"/>
      <c r="D63" s="94"/>
      <c r="E63" s="95"/>
      <c r="F63" s="96"/>
      <c r="G63" s="95"/>
      <c r="H63" s="95"/>
      <c r="I63" s="97"/>
      <c r="J63" s="95"/>
      <c r="K63" s="99"/>
      <c r="L63" s="99"/>
      <c r="M63" s="100"/>
    </row>
    <row r="64" spans="2:13" s="190" customFormat="1" ht="15" customHeight="1">
      <c r="B64" s="111"/>
      <c r="C64" s="112"/>
      <c r="D64" s="113"/>
      <c r="E64" s="114"/>
      <c r="F64" s="115"/>
      <c r="G64" s="95"/>
      <c r="H64" s="114"/>
      <c r="I64" s="95"/>
      <c r="J64" s="95"/>
      <c r="K64" s="116"/>
      <c r="L64" s="116"/>
      <c r="M64" s="116"/>
    </row>
    <row r="65" spans="2:15" s="190" customFormat="1" ht="15" customHeight="1">
      <c r="B65" s="111"/>
      <c r="C65" s="112"/>
      <c r="D65" s="113"/>
      <c r="E65" s="114"/>
      <c r="F65" s="115"/>
      <c r="G65" s="95"/>
      <c r="H65" s="114"/>
      <c r="I65" s="95"/>
      <c r="J65" s="95"/>
      <c r="K65" s="116"/>
      <c r="L65" s="116"/>
      <c r="M65" s="116"/>
    </row>
    <row r="66" spans="2:15" s="190" customFormat="1" ht="15" customHeight="1">
      <c r="B66" s="111"/>
      <c r="C66" s="112"/>
      <c r="D66" s="113"/>
      <c r="E66" s="114"/>
      <c r="F66" s="115"/>
      <c r="G66" s="95"/>
      <c r="H66" s="114"/>
      <c r="I66" s="95"/>
      <c r="J66" s="95"/>
      <c r="K66" s="116"/>
      <c r="L66" s="116"/>
      <c r="M66" s="116"/>
    </row>
    <row r="67" spans="2:15" s="190" customFormat="1" ht="15" customHeight="1">
      <c r="B67" s="111"/>
      <c r="C67" s="112"/>
      <c r="D67" s="113"/>
      <c r="E67" s="114"/>
      <c r="F67" s="115"/>
      <c r="G67" s="95"/>
      <c r="H67" s="114"/>
      <c r="I67" s="95"/>
      <c r="J67" s="95"/>
      <c r="K67" s="116"/>
      <c r="L67" s="116"/>
      <c r="M67" s="116"/>
    </row>
    <row r="68" spans="2:15" s="190" customFormat="1" ht="15" customHeight="1">
      <c r="B68" s="111"/>
      <c r="C68" s="112"/>
      <c r="D68" s="113"/>
      <c r="E68" s="114"/>
      <c r="F68" s="115"/>
      <c r="G68" s="95"/>
      <c r="H68" s="114"/>
      <c r="I68" s="95"/>
      <c r="J68" s="95"/>
      <c r="K68" s="116"/>
      <c r="L68" s="116"/>
      <c r="M68" s="116"/>
    </row>
    <row r="69" spans="2:15" s="190" customFormat="1" ht="15" customHeight="1">
      <c r="B69" s="111"/>
      <c r="C69" s="112"/>
      <c r="D69" s="113"/>
      <c r="E69" s="114"/>
      <c r="F69" s="115"/>
      <c r="G69" s="95"/>
      <c r="H69" s="114"/>
      <c r="I69" s="95"/>
      <c r="J69" s="95"/>
      <c r="K69" s="116"/>
      <c r="L69" s="116"/>
      <c r="M69" s="116"/>
    </row>
    <row r="70" spans="2:15" s="190" customFormat="1" ht="15" customHeight="1">
      <c r="B70" s="111"/>
      <c r="C70" s="112"/>
      <c r="D70" s="113"/>
      <c r="E70" s="114"/>
      <c r="F70" s="115"/>
      <c r="G70" s="95"/>
      <c r="H70" s="114"/>
      <c r="I70" s="95"/>
      <c r="J70" s="95"/>
      <c r="K70" s="116"/>
      <c r="L70" s="116"/>
      <c r="M70" s="116"/>
    </row>
    <row r="71" spans="2:15" s="190" customFormat="1" ht="15" customHeight="1">
      <c r="B71" s="92"/>
      <c r="C71" s="93"/>
      <c r="D71" s="94"/>
      <c r="E71" s="95"/>
      <c r="F71" s="96"/>
      <c r="G71" s="95"/>
      <c r="H71" s="95"/>
      <c r="I71" s="97"/>
      <c r="J71" s="95"/>
      <c r="K71" s="99"/>
      <c r="L71" s="99"/>
      <c r="M71" s="100"/>
    </row>
    <row r="72" spans="2:15" s="190" customFormat="1" ht="15" customHeight="1">
      <c r="B72" s="111"/>
      <c r="C72" s="112"/>
      <c r="D72" s="113"/>
      <c r="E72" s="114"/>
      <c r="F72" s="115"/>
      <c r="G72" s="95"/>
      <c r="H72" s="114"/>
      <c r="I72" s="95"/>
      <c r="J72" s="95"/>
      <c r="K72" s="116"/>
      <c r="L72" s="116"/>
      <c r="M72" s="116"/>
    </row>
    <row r="73" spans="2:15" s="190" customFormat="1" ht="15" customHeight="1">
      <c r="B73" s="111"/>
      <c r="C73" s="112"/>
      <c r="D73" s="113"/>
      <c r="E73" s="114"/>
      <c r="F73" s="115"/>
      <c r="G73" s="95"/>
      <c r="H73" s="114"/>
      <c r="I73" s="95"/>
      <c r="J73" s="95"/>
      <c r="K73" s="116"/>
      <c r="L73" s="116"/>
      <c r="M73" s="116"/>
    </row>
    <row r="74" spans="2:15" s="190" customFormat="1" ht="15" customHeight="1">
      <c r="B74" s="111"/>
      <c r="C74" s="112"/>
      <c r="D74" s="113"/>
      <c r="E74" s="114"/>
      <c r="F74" s="115"/>
      <c r="G74" s="95"/>
      <c r="H74" s="114"/>
      <c r="I74" s="95"/>
      <c r="J74" s="95"/>
      <c r="K74" s="116"/>
      <c r="L74" s="116"/>
      <c r="M74" s="116"/>
    </row>
    <row r="75" spans="2:15" s="190" customFormat="1" ht="15" customHeight="1">
      <c r="B75" s="111"/>
      <c r="C75" s="112"/>
      <c r="D75" s="113"/>
      <c r="E75" s="114"/>
      <c r="F75" s="115"/>
      <c r="G75" s="95"/>
      <c r="H75" s="114"/>
      <c r="I75" s="95"/>
      <c r="J75" s="95"/>
      <c r="K75" s="116"/>
      <c r="L75" s="116"/>
      <c r="M75" s="116"/>
    </row>
    <row r="76" spans="2:15" s="190" customFormat="1" ht="15" customHeight="1">
      <c r="B76" s="111"/>
      <c r="C76" s="112"/>
      <c r="D76" s="113"/>
      <c r="E76" s="114"/>
      <c r="F76" s="115"/>
      <c r="G76" s="95"/>
      <c r="H76" s="114"/>
      <c r="I76" s="95"/>
      <c r="J76" s="95"/>
      <c r="K76" s="116"/>
      <c r="L76" s="116"/>
      <c r="M76" s="116"/>
    </row>
    <row r="77" spans="2:15" s="190" customFormat="1" ht="15" customHeight="1">
      <c r="B77" s="111"/>
      <c r="C77" s="112"/>
      <c r="D77" s="113"/>
      <c r="E77" s="114"/>
      <c r="F77" s="115"/>
      <c r="G77" s="95"/>
      <c r="H77" s="114"/>
      <c r="I77" s="95"/>
      <c r="J77" s="95"/>
      <c r="K77" s="116"/>
      <c r="L77" s="116"/>
      <c r="M77" s="116"/>
    </row>
    <row r="78" spans="2:15" s="190" customFormat="1" ht="15" customHeight="1">
      <c r="B78" s="92"/>
      <c r="C78" s="93"/>
      <c r="D78" s="94"/>
      <c r="E78" s="95"/>
      <c r="F78" s="96"/>
      <c r="G78" s="95"/>
      <c r="H78" s="95"/>
      <c r="I78" s="97"/>
      <c r="J78" s="95"/>
      <c r="K78" s="99"/>
      <c r="L78" s="99"/>
      <c r="M78" s="100"/>
      <c r="O78" s="192"/>
    </row>
    <row r="79" spans="2:15" ht="15" customHeight="1">
      <c r="B79" s="111"/>
      <c r="C79" s="112"/>
      <c r="D79" s="113"/>
      <c r="E79" s="114"/>
      <c r="F79" s="115"/>
      <c r="G79" s="95"/>
      <c r="H79" s="114"/>
      <c r="I79" s="95"/>
      <c r="J79" s="95"/>
      <c r="K79" s="116"/>
      <c r="L79" s="116"/>
      <c r="M79" s="116"/>
    </row>
    <row r="80" spans="2:15" ht="15" customHeight="1">
      <c r="B80" s="111"/>
      <c r="C80" s="112"/>
      <c r="D80" s="113"/>
      <c r="E80" s="114"/>
      <c r="F80" s="115"/>
      <c r="G80" s="95"/>
      <c r="H80" s="114"/>
      <c r="I80" s="95"/>
      <c r="J80" s="95"/>
      <c r="K80" s="116"/>
      <c r="L80" s="116"/>
      <c r="M80" s="116"/>
    </row>
    <row r="81" spans="2:13" ht="15" customHeight="1">
      <c r="B81" s="111"/>
      <c r="C81" s="112"/>
      <c r="D81" s="113"/>
      <c r="E81" s="114"/>
      <c r="F81" s="115"/>
      <c r="G81" s="95"/>
      <c r="H81" s="114"/>
      <c r="I81" s="95"/>
      <c r="J81" s="95"/>
      <c r="K81" s="116"/>
      <c r="L81" s="116"/>
      <c r="M81" s="116"/>
    </row>
    <row r="82" spans="2:13" ht="15" customHeight="1">
      <c r="B82" s="111"/>
      <c r="C82" s="112"/>
      <c r="D82" s="113"/>
      <c r="E82" s="114"/>
      <c r="F82" s="115"/>
      <c r="G82" s="95"/>
      <c r="H82" s="114"/>
      <c r="I82" s="95"/>
      <c r="J82" s="95"/>
      <c r="K82" s="116"/>
      <c r="L82" s="116"/>
      <c r="M82" s="116"/>
    </row>
    <row r="83" spans="2:13" ht="15" customHeight="1">
      <c r="B83" s="111"/>
      <c r="C83" s="112"/>
      <c r="D83" s="113"/>
      <c r="E83" s="114"/>
      <c r="F83" s="115"/>
      <c r="G83" s="95"/>
      <c r="H83" s="114"/>
      <c r="I83" s="95"/>
      <c r="J83" s="95"/>
      <c r="K83" s="116"/>
      <c r="L83" s="116"/>
      <c r="M83" s="116"/>
    </row>
    <row r="84" spans="2:13" ht="15" customHeight="1">
      <c r="B84" s="111"/>
      <c r="C84" s="112"/>
      <c r="D84" s="113"/>
      <c r="E84" s="114"/>
      <c r="F84" s="115"/>
      <c r="G84" s="95"/>
      <c r="H84" s="114"/>
      <c r="I84" s="95"/>
      <c r="J84" s="95"/>
      <c r="K84" s="116"/>
      <c r="L84" s="116"/>
      <c r="M84" s="116"/>
    </row>
    <row r="85" spans="2:13" ht="15" customHeight="1">
      <c r="B85" s="117"/>
      <c r="C85" s="118"/>
      <c r="D85" s="119"/>
      <c r="E85" s="120"/>
      <c r="F85" s="121"/>
      <c r="G85" s="122"/>
      <c r="H85" s="120"/>
      <c r="I85" s="122"/>
      <c r="J85" s="123"/>
      <c r="K85" s="123"/>
      <c r="L85" s="123"/>
      <c r="M85" s="123"/>
    </row>
    <row r="86" spans="2:13">
      <c r="B86" s="124"/>
      <c r="C86" s="125"/>
      <c r="D86" s="126"/>
      <c r="E86" s="126"/>
      <c r="F86" s="127"/>
      <c r="G86" s="126"/>
      <c r="H86" s="126"/>
      <c r="I86" s="126"/>
      <c r="J86" s="126"/>
      <c r="K86" s="128"/>
      <c r="L86" s="128"/>
      <c r="M86" s="126"/>
    </row>
  </sheetData>
  <phoneticPr fontId="6" type="noConversion"/>
  <conditionalFormatting sqref="E5:I86">
    <cfRule type="expression" dxfId="4" priority="1" stopIfTrue="1">
      <formula>AND(ISBLANK($F5)=FALSE,ISBLANK($H5),$F5&lt;NOW())</formula>
    </cfRule>
    <cfRule type="expression" dxfId="3" priority="2" stopIfTrue="1">
      <formula>AND(ISBLANK($F5)=FALSE,ISBLANK($H5))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J61"/>
  <sheetViews>
    <sheetView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G37" sqref="G37"/>
    </sheetView>
  </sheetViews>
  <sheetFormatPr defaultColWidth="11.5703125" defaultRowHeight="13.5"/>
  <cols>
    <col min="1" max="1" width="1.85546875" customWidth="1"/>
    <col min="2" max="2" width="22" bestFit="1" customWidth="1"/>
    <col min="3" max="3" width="10.7109375" bestFit="1" customWidth="1"/>
    <col min="4" max="4" width="16.42578125" bestFit="1" customWidth="1"/>
    <col min="5" max="5" width="22" bestFit="1" customWidth="1"/>
    <col min="6" max="6" width="10.7109375" bestFit="1" customWidth="1"/>
    <col min="7" max="7" width="20.85546875" bestFit="1" customWidth="1"/>
    <col min="8" max="8" width="16.42578125" bestFit="1" customWidth="1"/>
    <col min="9" max="9" width="16.140625" customWidth="1"/>
  </cols>
  <sheetData>
    <row r="1" spans="2:10" ht="6.75" customHeight="1"/>
    <row r="2" spans="2:10" ht="18" customHeight="1">
      <c r="B2" s="6" t="s">
        <v>9</v>
      </c>
      <c r="C2" s="23" t="s">
        <v>53</v>
      </c>
      <c r="D2" s="5" t="s">
        <v>8</v>
      </c>
      <c r="E2" s="6" t="s">
        <v>9</v>
      </c>
      <c r="F2" s="23" t="s">
        <v>53</v>
      </c>
      <c r="G2" s="7" t="s">
        <v>10</v>
      </c>
    </row>
    <row r="3" spans="2:10" ht="18" customHeight="1">
      <c r="B3" s="9" t="s">
        <v>12</v>
      </c>
      <c r="C3" s="24" t="s">
        <v>54</v>
      </c>
      <c r="D3" s="8" t="s">
        <v>11</v>
      </c>
      <c r="E3" s="9" t="s">
        <v>12</v>
      </c>
      <c r="F3" s="24" t="s">
        <v>54</v>
      </c>
      <c r="G3" s="10" t="s">
        <v>13</v>
      </c>
      <c r="H3" s="1" t="str">
        <f t="shared" ref="H3:H9" si="0">SUBSTITUTE(E3,"-","")</f>
        <v>110390765334</v>
      </c>
    </row>
    <row r="4" spans="2:10" ht="18" customHeight="1">
      <c r="B4" s="12" t="s">
        <v>14</v>
      </c>
      <c r="C4" s="25" t="s">
        <v>55</v>
      </c>
      <c r="D4" s="11" t="s">
        <v>11</v>
      </c>
      <c r="E4" s="12" t="s">
        <v>14</v>
      </c>
      <c r="F4" s="25" t="s">
        <v>55</v>
      </c>
      <c r="G4" s="13" t="s">
        <v>13</v>
      </c>
      <c r="H4" s="1" t="str">
        <f t="shared" si="0"/>
        <v>110448059587</v>
      </c>
    </row>
    <row r="5" spans="2:10" ht="18" customHeight="1">
      <c r="B5" s="12" t="s">
        <v>15</v>
      </c>
      <c r="C5" s="25" t="s">
        <v>56</v>
      </c>
      <c r="D5" s="14" t="s">
        <v>11</v>
      </c>
      <c r="E5" s="12" t="s">
        <v>15</v>
      </c>
      <c r="F5" s="25" t="s">
        <v>56</v>
      </c>
      <c r="G5" s="13" t="s">
        <v>16</v>
      </c>
      <c r="H5" s="1" t="str">
        <f t="shared" si="0"/>
        <v>110390666425</v>
      </c>
      <c r="J5" s="15"/>
    </row>
    <row r="6" spans="2:10" ht="18" customHeight="1">
      <c r="B6" s="12" t="s">
        <v>17</v>
      </c>
      <c r="C6" s="25" t="s">
        <v>57</v>
      </c>
      <c r="D6" s="14" t="s">
        <v>11</v>
      </c>
      <c r="E6" s="12" t="s">
        <v>17</v>
      </c>
      <c r="F6" s="25" t="s">
        <v>57</v>
      </c>
      <c r="G6" s="13" t="s">
        <v>18</v>
      </c>
      <c r="H6" s="1" t="str">
        <f t="shared" si="0"/>
        <v>110243190760</v>
      </c>
      <c r="I6" s="177"/>
    </row>
    <row r="7" spans="2:10" ht="18" customHeight="1">
      <c r="B7" s="16" t="s">
        <v>20</v>
      </c>
      <c r="C7" s="26" t="s">
        <v>58</v>
      </c>
      <c r="D7" s="14" t="s">
        <v>19</v>
      </c>
      <c r="E7" s="16" t="s">
        <v>20</v>
      </c>
      <c r="F7" s="26" t="s">
        <v>58</v>
      </c>
      <c r="G7" s="13" t="s">
        <v>18</v>
      </c>
      <c r="H7" s="1" t="str">
        <f t="shared" si="0"/>
        <v>1002632802793</v>
      </c>
    </row>
    <row r="8" spans="2:10" ht="18" customHeight="1">
      <c r="B8" s="16" t="s">
        <v>22</v>
      </c>
      <c r="C8" s="26" t="s">
        <v>59</v>
      </c>
      <c r="D8" s="14" t="s">
        <v>21</v>
      </c>
      <c r="E8" s="16" t="s">
        <v>22</v>
      </c>
      <c r="F8" s="26" t="s">
        <v>59</v>
      </c>
      <c r="G8" s="13" t="s">
        <v>18</v>
      </c>
      <c r="H8" s="1" t="str">
        <f t="shared" si="0"/>
        <v>1002848898243</v>
      </c>
    </row>
    <row r="9" spans="2:10" ht="18" customHeight="1">
      <c r="B9" s="12" t="s">
        <v>24</v>
      </c>
      <c r="C9" s="25" t="s">
        <v>60</v>
      </c>
      <c r="D9" s="14" t="s">
        <v>23</v>
      </c>
      <c r="E9" s="12" t="s">
        <v>24</v>
      </c>
      <c r="F9" s="25" t="s">
        <v>60</v>
      </c>
      <c r="G9" s="13" t="s">
        <v>18</v>
      </c>
      <c r="H9" s="1" t="str">
        <f t="shared" si="0"/>
        <v>01241902172732</v>
      </c>
      <c r="I9" s="177"/>
    </row>
    <row r="10" spans="2:10" ht="18" customHeight="1">
      <c r="B10" s="16" t="s">
        <v>26</v>
      </c>
      <c r="C10" s="26" t="s">
        <v>61</v>
      </c>
      <c r="D10" s="14" t="s">
        <v>25</v>
      </c>
      <c r="E10" s="16" t="s">
        <v>26</v>
      </c>
      <c r="F10" s="26" t="s">
        <v>61</v>
      </c>
      <c r="G10" s="13" t="s">
        <v>18</v>
      </c>
      <c r="H10" s="1" t="str">
        <f t="shared" ref="H10:H20" si="1">SUBSTITUTE(E10,"-","")</f>
        <v>01327602291800</v>
      </c>
    </row>
    <row r="11" spans="2:10" ht="18" customHeight="1">
      <c r="B11" s="12" t="s">
        <v>28</v>
      </c>
      <c r="C11" s="25" t="s">
        <v>62</v>
      </c>
      <c r="D11" s="14" t="s">
        <v>27</v>
      </c>
      <c r="E11" s="12" t="s">
        <v>28</v>
      </c>
      <c r="F11" s="25" t="s">
        <v>62</v>
      </c>
      <c r="G11" s="13" t="s">
        <v>29</v>
      </c>
      <c r="H11" s="1" t="str">
        <f t="shared" si="1"/>
        <v>01054368965</v>
      </c>
    </row>
    <row r="12" spans="2:10" ht="18" customHeight="1">
      <c r="B12" s="16" t="s">
        <v>30</v>
      </c>
      <c r="C12" s="26" t="s">
        <v>63</v>
      </c>
      <c r="D12" s="14" t="s">
        <v>11</v>
      </c>
      <c r="E12" s="16" t="s">
        <v>30</v>
      </c>
      <c r="F12" s="26" t="s">
        <v>63</v>
      </c>
      <c r="G12" s="13" t="s">
        <v>31</v>
      </c>
      <c r="H12" s="1" t="str">
        <f t="shared" si="1"/>
        <v>110285967840</v>
      </c>
    </row>
    <row r="13" spans="2:10" ht="18" customHeight="1">
      <c r="B13" s="16" t="s">
        <v>368</v>
      </c>
      <c r="C13" s="26" t="s">
        <v>369</v>
      </c>
      <c r="D13" s="14" t="s">
        <v>370</v>
      </c>
      <c r="E13" s="16" t="str">
        <f>B13</f>
        <v>302-6477-2140-71</v>
      </c>
      <c r="F13" s="26" t="str">
        <f>C13</f>
        <v>농협 71</v>
      </c>
      <c r="G13" s="13" t="s">
        <v>371</v>
      </c>
      <c r="H13" s="1" t="str">
        <f>SUBSTITUTE(E13,"-","")</f>
        <v>3026477214071</v>
      </c>
    </row>
    <row r="14" spans="2:10" ht="18" customHeight="1">
      <c r="B14" s="16" t="s">
        <v>33</v>
      </c>
      <c r="C14" s="26" t="s">
        <v>64</v>
      </c>
      <c r="D14" s="14" t="s">
        <v>32</v>
      </c>
      <c r="E14" s="16" t="s">
        <v>33</v>
      </c>
      <c r="F14" s="26" t="s">
        <v>64</v>
      </c>
      <c r="G14" s="13" t="s">
        <v>34</v>
      </c>
      <c r="H14" s="1" t="str">
        <f t="shared" si="1"/>
        <v>92901140441</v>
      </c>
    </row>
    <row r="15" spans="2:10" ht="18" customHeight="1">
      <c r="B15" s="12" t="s">
        <v>36</v>
      </c>
      <c r="C15" s="25" t="s">
        <v>65</v>
      </c>
      <c r="D15" s="14" t="s">
        <v>35</v>
      </c>
      <c r="E15" s="12" t="s">
        <v>36</v>
      </c>
      <c r="F15" s="25" t="s">
        <v>65</v>
      </c>
      <c r="G15" s="13" t="s">
        <v>37</v>
      </c>
      <c r="H15" s="1" t="str">
        <f t="shared" si="1"/>
        <v>10097960191037</v>
      </c>
    </row>
    <row r="16" spans="2:10" ht="18" customHeight="1">
      <c r="B16" s="16" t="s">
        <v>38</v>
      </c>
      <c r="C16" s="26" t="s">
        <v>66</v>
      </c>
      <c r="D16" s="14" t="s">
        <v>27</v>
      </c>
      <c r="E16" s="16" t="s">
        <v>38</v>
      </c>
      <c r="F16" s="26" t="s">
        <v>66</v>
      </c>
      <c r="G16" s="13" t="s">
        <v>39</v>
      </c>
      <c r="H16" s="1" t="str">
        <f t="shared" si="1"/>
        <v>0162973265</v>
      </c>
    </row>
    <row r="17" spans="2:9" ht="18" customHeight="1">
      <c r="B17" s="178" t="s">
        <v>41</v>
      </c>
      <c r="C17" s="179" t="s">
        <v>67</v>
      </c>
      <c r="D17" s="180" t="s">
        <v>40</v>
      </c>
      <c r="E17" s="178" t="s">
        <v>41</v>
      </c>
      <c r="F17" s="179" t="s">
        <v>67</v>
      </c>
      <c r="G17" s="181" t="s">
        <v>18</v>
      </c>
      <c r="H17" s="1" t="str">
        <f t="shared" si="1"/>
        <v>70171255264</v>
      </c>
    </row>
    <row r="18" spans="2:9" ht="18" customHeight="1">
      <c r="B18" s="18" t="s">
        <v>42</v>
      </c>
      <c r="C18" s="27" t="s">
        <v>68</v>
      </c>
      <c r="D18" s="17" t="s">
        <v>335</v>
      </c>
      <c r="E18" s="18" t="s">
        <v>42</v>
      </c>
      <c r="F18" s="27" t="s">
        <v>68</v>
      </c>
      <c r="G18" s="19" t="s">
        <v>18</v>
      </c>
      <c r="H18" s="1" t="str">
        <f t="shared" si="1"/>
        <v>70101020723</v>
      </c>
    </row>
    <row r="19" spans="2:9" ht="18" customHeight="1">
      <c r="B19" s="18" t="s">
        <v>44</v>
      </c>
      <c r="C19" s="27" t="s">
        <v>69</v>
      </c>
      <c r="D19" s="17" t="s">
        <v>43</v>
      </c>
      <c r="E19" s="18" t="s">
        <v>44</v>
      </c>
      <c r="F19" s="27" t="s">
        <v>69</v>
      </c>
      <c r="G19" s="19" t="s">
        <v>18</v>
      </c>
      <c r="H19" s="1" t="str">
        <f t="shared" si="1"/>
        <v>70171294981</v>
      </c>
    </row>
    <row r="20" spans="2:9" ht="18" customHeight="1">
      <c r="B20" s="18" t="s">
        <v>46</v>
      </c>
      <c r="C20" s="27" t="s">
        <v>70</v>
      </c>
      <c r="D20" s="17" t="s">
        <v>45</v>
      </c>
      <c r="E20" s="18" t="s">
        <v>46</v>
      </c>
      <c r="F20" s="27" t="s">
        <v>70</v>
      </c>
      <c r="G20" s="19" t="s">
        <v>18</v>
      </c>
      <c r="H20" s="1" t="str">
        <f t="shared" si="1"/>
        <v>70171294982</v>
      </c>
    </row>
    <row r="21" spans="2:9" ht="18" customHeight="1">
      <c r="B21" s="216" t="s">
        <v>47</v>
      </c>
      <c r="C21" s="217" t="s">
        <v>71</v>
      </c>
      <c r="D21" s="218" t="s">
        <v>27</v>
      </c>
      <c r="E21" s="216" t="s">
        <v>47</v>
      </c>
      <c r="F21" s="217" t="s">
        <v>71</v>
      </c>
      <c r="G21" s="219" t="s">
        <v>18</v>
      </c>
      <c r="H21" s="220" t="str">
        <f>SUBSTITUTE(E21,"-","")</f>
        <v>07210433601017</v>
      </c>
      <c r="I21" s="221" t="s">
        <v>502</v>
      </c>
    </row>
    <row r="22" spans="2:9" ht="18" customHeight="1">
      <c r="B22" s="216" t="s">
        <v>499</v>
      </c>
      <c r="C22" s="217" t="s">
        <v>501</v>
      </c>
      <c r="D22" s="218" t="s">
        <v>27</v>
      </c>
      <c r="E22" s="216" t="s">
        <v>498</v>
      </c>
      <c r="F22" s="217" t="s">
        <v>500</v>
      </c>
      <c r="G22" s="219" t="s">
        <v>18</v>
      </c>
      <c r="H22" s="220" t="str">
        <f>SUBSTITUTE(E22,"-","")</f>
        <v>29313756902016</v>
      </c>
      <c r="I22" s="221" t="s">
        <v>503</v>
      </c>
    </row>
    <row r="23" spans="2:9" ht="18" customHeight="1">
      <c r="B23" s="18" t="s">
        <v>48</v>
      </c>
      <c r="C23" s="27" t="s">
        <v>72</v>
      </c>
      <c r="D23" s="17" t="s">
        <v>32</v>
      </c>
      <c r="E23" s="18" t="s">
        <v>48</v>
      </c>
      <c r="F23" s="27" t="s">
        <v>72</v>
      </c>
      <c r="G23" s="19" t="s">
        <v>344</v>
      </c>
      <c r="H23" s="1" t="str">
        <f>SUBSTITUTE(E23,"-","")</f>
        <v>75501051036924</v>
      </c>
    </row>
    <row r="24" spans="2:9" ht="18" customHeight="1">
      <c r="B24" s="18" t="s">
        <v>49</v>
      </c>
      <c r="C24" s="27" t="s">
        <v>73</v>
      </c>
      <c r="D24" s="17" t="s">
        <v>32</v>
      </c>
      <c r="E24" s="18" t="s">
        <v>49</v>
      </c>
      <c r="F24" s="27" t="s">
        <v>73</v>
      </c>
      <c r="G24" s="19" t="s">
        <v>50</v>
      </c>
      <c r="H24" s="1" t="str">
        <f>SUBSTITUTE(E24,"-","")</f>
        <v>3521381740803</v>
      </c>
    </row>
    <row r="25" spans="2:9" ht="18" customHeight="1">
      <c r="B25" s="21" t="s">
        <v>51</v>
      </c>
      <c r="C25" s="28" t="s">
        <v>74</v>
      </c>
      <c r="D25" s="20" t="s">
        <v>35</v>
      </c>
      <c r="E25" s="21" t="s">
        <v>51</v>
      </c>
      <c r="F25" s="28" t="s">
        <v>74</v>
      </c>
      <c r="G25" s="22" t="s">
        <v>52</v>
      </c>
      <c r="H25" s="1" t="str">
        <f>SUBSTITUTE(E25,"-","")</f>
        <v>67991008408307</v>
      </c>
    </row>
    <row r="27" spans="2:9" ht="18" customHeight="1">
      <c r="B27" s="30" t="s">
        <v>306</v>
      </c>
      <c r="C27" s="30" t="s">
        <v>307</v>
      </c>
      <c r="D27" s="210">
        <v>313</v>
      </c>
      <c r="E27" s="211">
        <v>44896</v>
      </c>
      <c r="F27" s="37"/>
    </row>
    <row r="28" spans="2:9" ht="18" customHeight="1">
      <c r="B28" s="212" t="s">
        <v>507</v>
      </c>
      <c r="C28" s="212" t="s">
        <v>508</v>
      </c>
      <c r="D28" s="210">
        <v>797</v>
      </c>
      <c r="E28" s="211">
        <v>46722</v>
      </c>
      <c r="F28" s="37"/>
      <c r="G28" t="str">
        <f>LEFT(C28,2) &amp; RIGHT(B28,4)</f>
        <v>국민7023</v>
      </c>
    </row>
    <row r="29" spans="2:9" ht="18" customHeight="1">
      <c r="B29" s="212" t="s">
        <v>509</v>
      </c>
      <c r="C29" s="212" t="s">
        <v>510</v>
      </c>
      <c r="D29" s="210">
        <v>517</v>
      </c>
      <c r="E29" s="211">
        <v>46054</v>
      </c>
      <c r="F29" s="37" t="s">
        <v>511</v>
      </c>
      <c r="G29" t="str">
        <f t="shared" ref="G29:G42" si="2">LEFT(C29,2) &amp; RIGHT(B29,4)</f>
        <v>농협9404</v>
      </c>
    </row>
    <row r="30" spans="2:9" ht="18" customHeight="1">
      <c r="B30" s="212" t="s">
        <v>504</v>
      </c>
      <c r="C30" s="212" t="s">
        <v>505</v>
      </c>
      <c r="D30" s="210">
        <v>60</v>
      </c>
      <c r="E30" s="211">
        <v>46447</v>
      </c>
      <c r="F30" s="37" t="s">
        <v>506</v>
      </c>
      <c r="G30" t="str">
        <f t="shared" si="2"/>
        <v>농협8838</v>
      </c>
    </row>
    <row r="31" spans="2:9" ht="18" customHeight="1">
      <c r="B31" s="212" t="s">
        <v>300</v>
      </c>
      <c r="C31" s="212" t="s">
        <v>301</v>
      </c>
      <c r="D31" s="213">
        <v>250</v>
      </c>
      <c r="E31" s="214">
        <v>44958</v>
      </c>
      <c r="F31" s="215"/>
      <c r="G31" s="215" t="str">
        <f t="shared" si="2"/>
        <v>롯데9325</v>
      </c>
    </row>
    <row r="32" spans="2:9" ht="18" customHeight="1">
      <c r="B32" s="212" t="s">
        <v>514</v>
      </c>
      <c r="C32" s="212" t="s">
        <v>515</v>
      </c>
      <c r="D32" s="213">
        <v>515</v>
      </c>
      <c r="E32" s="214">
        <v>46753</v>
      </c>
      <c r="F32" s="215"/>
      <c r="G32" t="str">
        <f t="shared" si="2"/>
        <v>롯데7626</v>
      </c>
    </row>
    <row r="33" spans="2:7" ht="18" customHeight="1">
      <c r="B33" s="212" t="s">
        <v>347</v>
      </c>
      <c r="C33" s="212" t="s">
        <v>298</v>
      </c>
      <c r="D33" s="213">
        <v>229</v>
      </c>
      <c r="E33" s="214">
        <v>44642</v>
      </c>
      <c r="F33" s="215"/>
      <c r="G33" s="215" t="str">
        <f t="shared" si="2"/>
        <v>비씨1424</v>
      </c>
    </row>
    <row r="34" spans="2:7" ht="18" customHeight="1">
      <c r="B34" s="212" t="s">
        <v>512</v>
      </c>
      <c r="C34" s="212" t="s">
        <v>513</v>
      </c>
      <c r="D34" s="213">
        <v>695</v>
      </c>
      <c r="E34" s="214">
        <v>46296</v>
      </c>
      <c r="F34" s="215" t="s">
        <v>511</v>
      </c>
      <c r="G34" t="str">
        <f t="shared" si="2"/>
        <v>비씨0234</v>
      </c>
    </row>
    <row r="35" spans="2:7" ht="18" customHeight="1">
      <c r="B35" s="212" t="s">
        <v>471</v>
      </c>
      <c r="C35" s="212" t="s">
        <v>470</v>
      </c>
      <c r="D35" s="210">
        <v>794</v>
      </c>
      <c r="E35" s="211">
        <v>46327</v>
      </c>
      <c r="F35" s="37" t="s">
        <v>472</v>
      </c>
      <c r="G35" t="str">
        <f t="shared" si="2"/>
        <v>비씨2526</v>
      </c>
    </row>
    <row r="36" spans="2:7" ht="18" customHeight="1">
      <c r="B36" s="212" t="s">
        <v>469</v>
      </c>
      <c r="C36" s="212" t="s">
        <v>470</v>
      </c>
      <c r="D36" s="210">
        <v>3</v>
      </c>
      <c r="E36" s="211">
        <v>46447</v>
      </c>
      <c r="F36" s="37"/>
      <c r="G36" t="str">
        <f t="shared" si="2"/>
        <v>비씨8031</v>
      </c>
    </row>
    <row r="37" spans="2:7" ht="18" customHeight="1">
      <c r="B37" s="30" t="s">
        <v>304</v>
      </c>
      <c r="C37" s="30" t="s">
        <v>305</v>
      </c>
      <c r="D37" s="210">
        <v>807</v>
      </c>
      <c r="E37" s="211">
        <v>45323</v>
      </c>
      <c r="F37" s="37"/>
      <c r="G37" t="str">
        <f t="shared" si="2"/>
        <v>신한3158</v>
      </c>
    </row>
    <row r="38" spans="2:7" ht="18" customHeight="1">
      <c r="B38" s="212" t="s">
        <v>488</v>
      </c>
      <c r="C38" s="212" t="s">
        <v>489</v>
      </c>
      <c r="D38" s="210">
        <v>374</v>
      </c>
      <c r="E38" s="211">
        <v>46722</v>
      </c>
      <c r="F38" s="37"/>
      <c r="G38" t="str">
        <f t="shared" si="2"/>
        <v>신한2687</v>
      </c>
    </row>
    <row r="39" spans="2:7" ht="18" customHeight="1">
      <c r="B39" s="212" t="s">
        <v>490</v>
      </c>
      <c r="C39" s="212" t="s">
        <v>491</v>
      </c>
      <c r="D39" s="210">
        <v>702</v>
      </c>
      <c r="E39" s="211">
        <v>46722</v>
      </c>
      <c r="F39" s="37" t="s">
        <v>492</v>
      </c>
      <c r="G39" t="str">
        <f t="shared" si="2"/>
        <v>신한3555</v>
      </c>
    </row>
    <row r="40" spans="2:7" ht="18" customHeight="1">
      <c r="B40" s="30" t="s">
        <v>354</v>
      </c>
      <c r="C40" s="30" t="s">
        <v>355</v>
      </c>
      <c r="D40" s="210">
        <v>309</v>
      </c>
      <c r="E40" s="211">
        <v>47300</v>
      </c>
      <c r="F40" s="37" t="s">
        <v>356</v>
      </c>
      <c r="G40" t="str">
        <f t="shared" si="2"/>
        <v>신한1658</v>
      </c>
    </row>
    <row r="41" spans="2:7" ht="18" customHeight="1">
      <c r="B41" s="30" t="s">
        <v>302</v>
      </c>
      <c r="C41" s="30" t="s">
        <v>303</v>
      </c>
      <c r="D41" s="210">
        <v>44</v>
      </c>
      <c r="E41" s="211">
        <v>45505</v>
      </c>
      <c r="F41" s="37"/>
      <c r="G41" t="str">
        <f t="shared" si="2"/>
        <v>우리5607</v>
      </c>
    </row>
    <row r="42" spans="2:7" ht="18" customHeight="1">
      <c r="B42" s="212" t="s">
        <v>348</v>
      </c>
      <c r="C42" s="212" t="s">
        <v>299</v>
      </c>
      <c r="D42" s="213">
        <v>1502</v>
      </c>
      <c r="E42" s="214">
        <v>45748</v>
      </c>
      <c r="F42" s="215"/>
      <c r="G42" s="215" t="str">
        <f t="shared" si="2"/>
        <v>하나6564</v>
      </c>
    </row>
    <row r="43" spans="2:7" ht="18" customHeight="1">
      <c r="B43" s="212"/>
      <c r="C43" s="212"/>
      <c r="D43" s="210"/>
      <c r="E43" s="211"/>
      <c r="F43" s="37"/>
    </row>
    <row r="44" spans="2:7" ht="18" customHeight="1">
      <c r="E44" s="159"/>
    </row>
    <row r="46" spans="2:7">
      <c r="B46" s="1" t="s">
        <v>75</v>
      </c>
      <c r="C46" s="29" t="s">
        <v>76</v>
      </c>
      <c r="D46" s="29" t="s">
        <v>7</v>
      </c>
    </row>
    <row r="47" spans="2:7">
      <c r="B47" s="30" t="s">
        <v>3</v>
      </c>
      <c r="C47" s="31" t="s">
        <v>58</v>
      </c>
      <c r="D47" s="32">
        <v>20</v>
      </c>
    </row>
    <row r="48" spans="2:7">
      <c r="B48" s="30" t="s">
        <v>0</v>
      </c>
      <c r="C48" s="31" t="s">
        <v>58</v>
      </c>
      <c r="D48" s="31">
        <v>20</v>
      </c>
    </row>
    <row r="49" spans="2:4">
      <c r="B49" s="30" t="s">
        <v>1</v>
      </c>
      <c r="C49" s="31" t="s">
        <v>71</v>
      </c>
      <c r="D49" s="31">
        <v>15</v>
      </c>
    </row>
    <row r="50" spans="2:4">
      <c r="B50" s="30" t="s">
        <v>4</v>
      </c>
      <c r="C50" s="31" t="s">
        <v>71</v>
      </c>
      <c r="D50" s="31">
        <v>15</v>
      </c>
    </row>
    <row r="51" spans="2:4">
      <c r="B51" s="30" t="s">
        <v>2</v>
      </c>
      <c r="C51" s="31" t="s">
        <v>58</v>
      </c>
      <c r="D51" s="31">
        <v>14</v>
      </c>
    </row>
    <row r="52" spans="2:4">
      <c r="B52" s="30"/>
      <c r="C52" s="30"/>
      <c r="D52" s="31"/>
    </row>
    <row r="53" spans="2:4">
      <c r="B53" s="30"/>
      <c r="C53" s="30"/>
      <c r="D53" s="31"/>
    </row>
    <row r="54" spans="2:4">
      <c r="B54" s="30"/>
      <c r="C54" s="30"/>
      <c r="D54" s="31"/>
    </row>
    <row r="55" spans="2:4">
      <c r="B55" s="30"/>
      <c r="C55" s="30"/>
      <c r="D55" s="31"/>
    </row>
    <row r="56" spans="2:4">
      <c r="B56" s="30"/>
      <c r="C56" s="30"/>
      <c r="D56" s="31"/>
    </row>
    <row r="57" spans="2:4">
      <c r="B57" s="30"/>
      <c r="C57" s="30"/>
      <c r="D57" s="31"/>
    </row>
    <row r="58" spans="2:4">
      <c r="B58" s="30"/>
      <c r="C58" s="30"/>
      <c r="D58" s="31"/>
    </row>
    <row r="59" spans="2:4">
      <c r="B59" s="30"/>
      <c r="C59" s="30"/>
      <c r="D59" s="31"/>
    </row>
    <row r="60" spans="2:4">
      <c r="B60" s="30"/>
      <c r="C60" s="30"/>
      <c r="D60" s="31"/>
    </row>
    <row r="61" spans="2:4">
      <c r="B61" s="30"/>
      <c r="C61" s="30"/>
      <c r="D61" s="31"/>
    </row>
  </sheetData>
  <sortState ref="B27:F40">
    <sortCondition ref="C27:C40"/>
    <sortCondition ref="E27:E40"/>
    <sortCondition ref="B27:B40"/>
  </sortState>
  <phoneticPr fontId="6" type="noConversion"/>
  <conditionalFormatting sqref="B27:F43">
    <cfRule type="expression" dxfId="2" priority="3" stopIfTrue="1">
      <formula>OR(EOMONTH($E27,0)&lt;TODAY(), $D27&gt;999)</formula>
    </cfRule>
  </conditionalFormatting>
  <conditionalFormatting sqref="G31">
    <cfRule type="expression" dxfId="1" priority="2" stopIfTrue="1">
      <formula>OR(EOMONTH($E31,0)&lt;TODAY(), $D31&gt;999)</formula>
    </cfRule>
  </conditionalFormatting>
  <conditionalFormatting sqref="G42 G33">
    <cfRule type="expression" dxfId="0" priority="1" stopIfTrue="1">
      <formula>OR(EOMONTH($E33,0)&lt;TODAY(), $D33&gt;999)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09"/>
  <sheetViews>
    <sheetView workbookViewId="0">
      <selection activeCell="I4" sqref="I4"/>
    </sheetView>
  </sheetViews>
  <sheetFormatPr defaultRowHeight="13.5"/>
  <cols>
    <col min="8" max="8" width="9.7109375" bestFit="1" customWidth="1"/>
  </cols>
  <sheetData>
    <row r="1" spans="1:21">
      <c r="B1" s="174" t="s">
        <v>206</v>
      </c>
      <c r="C1" s="174"/>
      <c r="E1" s="174" t="s">
        <v>208</v>
      </c>
      <c r="F1" s="174"/>
      <c r="H1" s="222" t="s">
        <v>517</v>
      </c>
      <c r="I1" s="224">
        <v>3</v>
      </c>
      <c r="K1" s="204" t="s">
        <v>207</v>
      </c>
      <c r="L1" s="204"/>
      <c r="N1" s="204" t="s">
        <v>209</v>
      </c>
      <c r="O1" s="204"/>
      <c r="Q1" s="174" t="s">
        <v>210</v>
      </c>
      <c r="R1" s="174"/>
    </row>
    <row r="2" spans="1:21">
      <c r="B2" s="174" t="s">
        <v>211</v>
      </c>
      <c r="C2" s="174"/>
      <c r="D2" s="153">
        <v>35</v>
      </c>
      <c r="E2" s="174">
        <v>88826687</v>
      </c>
      <c r="F2" s="174"/>
      <c r="G2" s="153">
        <v>35</v>
      </c>
      <c r="H2" s="223">
        <v>79703098</v>
      </c>
      <c r="I2" s="37"/>
      <c r="J2" s="153">
        <v>35</v>
      </c>
      <c r="K2" s="204">
        <v>73441526</v>
      </c>
      <c r="L2" s="204"/>
      <c r="M2" s="153">
        <v>35</v>
      </c>
      <c r="N2" s="204">
        <v>21587371</v>
      </c>
      <c r="O2" s="204"/>
      <c r="P2" s="153">
        <v>30</v>
      </c>
      <c r="Q2" s="174">
        <v>74191356</v>
      </c>
      <c r="R2" s="174"/>
      <c r="S2" s="153">
        <v>30</v>
      </c>
    </row>
    <row r="3" spans="1:21">
      <c r="B3" s="150">
        <f>VLOOKUP(B4,$A$5:C$103,COLUMN(),FALSE)/B4-D$2</f>
        <v>24</v>
      </c>
      <c r="C3" s="150">
        <f>VLOOKUP(C4,$A$5:C$103,COLUMN(),FALSE)/C4-D$2</f>
        <v>35</v>
      </c>
      <c r="D3" s="149"/>
      <c r="E3" s="150">
        <f>VLOOKUP(E4,$A$5:F$103,COLUMN(),FALSE)/E4-G$2</f>
        <v>13</v>
      </c>
      <c r="F3" s="150">
        <f>VLOOKUP(F4,$A$5:F$103,COLUMN(),FALSE)/F4-G$2</f>
        <v>83</v>
      </c>
      <c r="G3" s="149"/>
      <c r="H3" s="150">
        <f>VLOOKUP(H4+35*(I1-1),$A$5:I$103,COLUMN(),FALSE)/(H4+35*(I1-1))-J$2</f>
        <v>72</v>
      </c>
      <c r="I3" s="150">
        <f>VLOOKUP(I4+35*(I1-1),$A$5:I$103,COLUMN(),FALSE)/(I4+35*(I1-1))-J$2</f>
        <v>59</v>
      </c>
      <c r="J3" s="149"/>
      <c r="K3" s="205">
        <f>VLOOKUP(K4,$A$5:L$103,COLUMN(),FALSE)/K4-M$2</f>
        <v>41</v>
      </c>
      <c r="L3" s="205">
        <f>VLOOKUP(L4,$A$5:L$103,COLUMN(),FALSE)/L4-M$2</f>
        <v>94</v>
      </c>
      <c r="M3" s="149"/>
      <c r="N3" s="205">
        <f>VLOOKUP(N4,$A$5:O$103,COLUMN(),FALSE)/N4-P$2</f>
        <v>12</v>
      </c>
      <c r="O3" s="205">
        <f>VLOOKUP(O4,$A$5:O$103,COLUMN(),FALSE)/O4-P$2</f>
        <v>41</v>
      </c>
      <c r="P3" s="149"/>
      <c r="Q3" s="150">
        <f>VLOOKUP(Q4,$A$5:R$103,COLUMN(),FALSE)/Q4-S$2</f>
        <v>74</v>
      </c>
      <c r="R3" s="150">
        <f>VLOOKUP(R4,$A$5:R$103,COLUMN(),FALSE)/R4-S$2</f>
        <v>56</v>
      </c>
      <c r="S3" s="149"/>
      <c r="T3" s="137" t="s">
        <v>172</v>
      </c>
      <c r="U3" s="137" t="s">
        <v>173</v>
      </c>
    </row>
    <row r="4" spans="1:21">
      <c r="A4" s="138"/>
      <c r="B4" s="152">
        <v>34</v>
      </c>
      <c r="C4" s="152">
        <v>32</v>
      </c>
      <c r="E4" s="152">
        <v>29</v>
      </c>
      <c r="F4" s="152">
        <v>35</v>
      </c>
      <c r="H4" s="152">
        <v>2</v>
      </c>
      <c r="I4" s="152">
        <v>3</v>
      </c>
      <c r="K4" s="205">
        <v>35</v>
      </c>
      <c r="L4" s="205">
        <v>29</v>
      </c>
      <c r="N4" s="205">
        <v>11</v>
      </c>
      <c r="O4" s="205">
        <v>10</v>
      </c>
      <c r="Q4" s="152">
        <v>11</v>
      </c>
      <c r="R4" s="152">
        <v>10</v>
      </c>
    </row>
    <row r="5" spans="1:21">
      <c r="A5" s="138">
        <v>1</v>
      </c>
      <c r="B5" s="151">
        <v>57</v>
      </c>
      <c r="C5" s="151">
        <v>89</v>
      </c>
      <c r="E5" s="151">
        <v>113</v>
      </c>
      <c r="F5" s="151">
        <v>127</v>
      </c>
      <c r="H5" s="37">
        <v>40</v>
      </c>
      <c r="I5" s="37">
        <v>56</v>
      </c>
      <c r="K5" s="205">
        <v>96</v>
      </c>
      <c r="L5" s="205">
        <v>79</v>
      </c>
      <c r="N5" s="205">
        <v>61</v>
      </c>
      <c r="O5" s="205">
        <v>47</v>
      </c>
      <c r="Q5" s="151">
        <v>69</v>
      </c>
      <c r="R5" s="151">
        <v>66</v>
      </c>
    </row>
    <row r="6" spans="1:21">
      <c r="A6" s="138">
        <v>2</v>
      </c>
      <c r="B6" s="151">
        <v>248</v>
      </c>
      <c r="C6" s="151">
        <v>216</v>
      </c>
      <c r="E6" s="151">
        <v>262</v>
      </c>
      <c r="F6" s="151">
        <v>240</v>
      </c>
      <c r="H6" s="37">
        <v>214</v>
      </c>
      <c r="I6" s="37">
        <v>236</v>
      </c>
      <c r="K6" s="205">
        <v>242</v>
      </c>
      <c r="L6" s="205">
        <v>170</v>
      </c>
      <c r="N6" s="205">
        <v>156</v>
      </c>
      <c r="O6" s="205">
        <v>102</v>
      </c>
      <c r="Q6" s="151">
        <v>208</v>
      </c>
      <c r="R6" s="151">
        <v>128</v>
      </c>
    </row>
    <row r="7" spans="1:21">
      <c r="A7" s="138">
        <v>3</v>
      </c>
      <c r="B7" s="151">
        <v>381</v>
      </c>
      <c r="C7" s="151">
        <v>261</v>
      </c>
      <c r="E7" s="151">
        <v>240</v>
      </c>
      <c r="F7" s="151">
        <v>315</v>
      </c>
      <c r="H7" s="37">
        <v>108</v>
      </c>
      <c r="I7" s="37">
        <v>282</v>
      </c>
      <c r="K7" s="205">
        <v>159</v>
      </c>
      <c r="L7" s="205">
        <v>147</v>
      </c>
      <c r="N7" s="205">
        <v>213</v>
      </c>
      <c r="O7" s="205">
        <v>156</v>
      </c>
      <c r="Q7" s="151">
        <v>201</v>
      </c>
      <c r="R7" s="151">
        <v>186</v>
      </c>
    </row>
    <row r="8" spans="1:21">
      <c r="A8" s="138">
        <v>4</v>
      </c>
      <c r="B8" s="151">
        <v>252</v>
      </c>
      <c r="C8" s="151">
        <v>208</v>
      </c>
      <c r="E8" s="151">
        <v>280</v>
      </c>
      <c r="F8" s="151">
        <v>368</v>
      </c>
      <c r="H8" s="37">
        <v>336</v>
      </c>
      <c r="I8" s="37">
        <v>440</v>
      </c>
      <c r="K8" s="205">
        <v>288</v>
      </c>
      <c r="L8" s="205">
        <v>176</v>
      </c>
      <c r="N8" s="205">
        <v>300</v>
      </c>
      <c r="O8" s="205">
        <v>340</v>
      </c>
      <c r="Q8" s="151">
        <v>308</v>
      </c>
      <c r="R8" s="151">
        <v>512</v>
      </c>
    </row>
    <row r="9" spans="1:21">
      <c r="A9" s="138">
        <v>5</v>
      </c>
      <c r="B9" s="151">
        <v>375</v>
      </c>
      <c r="C9" s="151">
        <v>230</v>
      </c>
      <c r="E9" s="151">
        <v>260</v>
      </c>
      <c r="F9" s="151">
        <v>650</v>
      </c>
      <c r="H9" s="37">
        <v>310</v>
      </c>
      <c r="I9" s="37">
        <v>270</v>
      </c>
      <c r="K9" s="205">
        <v>310</v>
      </c>
      <c r="L9" s="205">
        <v>435</v>
      </c>
      <c r="N9" s="205">
        <v>355</v>
      </c>
      <c r="O9" s="205">
        <v>640</v>
      </c>
      <c r="Q9" s="151">
        <v>605</v>
      </c>
      <c r="R9" s="151">
        <v>560</v>
      </c>
    </row>
    <row r="10" spans="1:21">
      <c r="A10" s="138">
        <v>6</v>
      </c>
      <c r="B10" s="151">
        <v>588</v>
      </c>
      <c r="C10" s="151">
        <v>210</v>
      </c>
      <c r="E10" s="151">
        <v>642</v>
      </c>
      <c r="F10" s="151">
        <v>348</v>
      </c>
      <c r="H10" s="37">
        <v>546</v>
      </c>
      <c r="I10" s="37">
        <v>774</v>
      </c>
      <c r="K10" s="205">
        <v>372</v>
      </c>
      <c r="L10" s="205">
        <v>360</v>
      </c>
      <c r="N10" s="205">
        <v>186</v>
      </c>
      <c r="O10" s="205">
        <v>204</v>
      </c>
      <c r="Q10" s="151">
        <v>348</v>
      </c>
      <c r="R10" s="151">
        <v>366</v>
      </c>
    </row>
    <row r="11" spans="1:21">
      <c r="A11" s="138">
        <v>7</v>
      </c>
      <c r="B11" s="151">
        <v>679</v>
      </c>
      <c r="C11" s="151">
        <v>483</v>
      </c>
      <c r="E11" s="151">
        <v>903</v>
      </c>
      <c r="F11" s="151">
        <v>483</v>
      </c>
      <c r="H11" s="37">
        <v>602</v>
      </c>
      <c r="I11" s="37">
        <v>525</v>
      </c>
      <c r="K11" s="205">
        <v>378</v>
      </c>
      <c r="L11" s="205">
        <v>679</v>
      </c>
      <c r="N11" s="205">
        <v>231</v>
      </c>
      <c r="O11" s="205">
        <v>259</v>
      </c>
      <c r="Q11" s="151">
        <v>735</v>
      </c>
      <c r="R11" s="151">
        <v>469</v>
      </c>
    </row>
    <row r="12" spans="1:21">
      <c r="A12" s="138">
        <v>8</v>
      </c>
      <c r="B12" s="151">
        <v>624</v>
      </c>
      <c r="C12" s="151">
        <v>360</v>
      </c>
      <c r="E12" s="151">
        <v>920</v>
      </c>
      <c r="F12" s="151">
        <v>528</v>
      </c>
      <c r="H12" s="37">
        <v>304</v>
      </c>
      <c r="I12" s="37">
        <v>976</v>
      </c>
      <c r="K12" s="205">
        <v>816</v>
      </c>
      <c r="L12" s="205">
        <v>992</v>
      </c>
      <c r="N12" s="205">
        <v>992</v>
      </c>
      <c r="O12" s="205">
        <v>320</v>
      </c>
      <c r="Q12" s="151">
        <v>960</v>
      </c>
      <c r="R12" s="151">
        <v>680</v>
      </c>
    </row>
    <row r="13" spans="1:21">
      <c r="A13" s="138">
        <v>9</v>
      </c>
      <c r="B13" s="151">
        <v>612</v>
      </c>
      <c r="C13" s="151">
        <v>432</v>
      </c>
      <c r="E13" s="151">
        <v>1089</v>
      </c>
      <c r="F13" s="151">
        <v>792</v>
      </c>
      <c r="H13" s="37">
        <v>900</v>
      </c>
      <c r="I13" s="37">
        <v>495</v>
      </c>
      <c r="K13" s="205">
        <v>1080</v>
      </c>
      <c r="L13" s="205">
        <v>756</v>
      </c>
      <c r="N13" s="205">
        <v>693</v>
      </c>
      <c r="O13" s="205">
        <v>333</v>
      </c>
      <c r="Q13" s="151">
        <v>756</v>
      </c>
      <c r="R13" s="151">
        <v>333</v>
      </c>
    </row>
    <row r="14" spans="1:21">
      <c r="A14" s="138">
        <v>10</v>
      </c>
      <c r="B14" s="151">
        <v>520</v>
      </c>
      <c r="C14" s="151">
        <v>710</v>
      </c>
      <c r="E14" s="151">
        <v>850</v>
      </c>
      <c r="F14" s="151">
        <v>1040</v>
      </c>
      <c r="H14" s="37">
        <v>410</v>
      </c>
      <c r="I14" s="37">
        <v>1330</v>
      </c>
      <c r="K14" s="205">
        <v>700</v>
      </c>
      <c r="L14" s="205">
        <v>820</v>
      </c>
      <c r="N14" s="205">
        <v>1220</v>
      </c>
      <c r="O14" s="205">
        <v>710</v>
      </c>
      <c r="Q14" s="151">
        <v>570</v>
      </c>
      <c r="R14" s="151">
        <v>860</v>
      </c>
    </row>
    <row r="15" spans="1:21">
      <c r="A15" s="138">
        <v>11</v>
      </c>
      <c r="B15" s="151">
        <v>913</v>
      </c>
      <c r="C15" s="151">
        <v>1155</v>
      </c>
      <c r="E15" s="151">
        <v>858</v>
      </c>
      <c r="F15" s="151">
        <v>528</v>
      </c>
      <c r="H15" s="37">
        <v>1210</v>
      </c>
      <c r="I15" s="37">
        <v>616</v>
      </c>
      <c r="K15" s="205">
        <v>1452</v>
      </c>
      <c r="L15" s="205">
        <v>726</v>
      </c>
      <c r="N15" s="205">
        <v>462</v>
      </c>
      <c r="O15" s="205">
        <v>1144</v>
      </c>
      <c r="Q15" s="151">
        <v>1144</v>
      </c>
      <c r="R15" s="151">
        <v>550</v>
      </c>
    </row>
    <row r="16" spans="1:21">
      <c r="A16" s="138">
        <v>12</v>
      </c>
      <c r="B16" s="151">
        <v>1392</v>
      </c>
      <c r="C16" s="151">
        <v>996</v>
      </c>
      <c r="E16" s="151">
        <v>792</v>
      </c>
      <c r="F16" s="151">
        <v>1092</v>
      </c>
      <c r="H16" s="37">
        <v>1560</v>
      </c>
      <c r="I16" s="37">
        <v>1452</v>
      </c>
      <c r="K16" s="205">
        <v>1356</v>
      </c>
      <c r="L16" s="205">
        <v>1500</v>
      </c>
      <c r="N16" s="205">
        <v>1260</v>
      </c>
      <c r="O16" s="205">
        <v>660</v>
      </c>
      <c r="Q16" s="151">
        <v>864</v>
      </c>
      <c r="R16" s="151">
        <v>1116</v>
      </c>
    </row>
    <row r="17" spans="1:18">
      <c r="A17" s="138">
        <v>13</v>
      </c>
      <c r="B17" s="151">
        <v>1339</v>
      </c>
      <c r="C17" s="151">
        <v>845</v>
      </c>
      <c r="E17" s="151">
        <v>1599</v>
      </c>
      <c r="F17" s="151">
        <v>767</v>
      </c>
      <c r="H17" s="37">
        <v>1326</v>
      </c>
      <c r="I17" s="37">
        <v>1118</v>
      </c>
      <c r="K17" s="205">
        <v>884</v>
      </c>
      <c r="L17" s="205">
        <v>572</v>
      </c>
      <c r="N17" s="205">
        <v>507</v>
      </c>
      <c r="O17" s="205">
        <v>1235</v>
      </c>
      <c r="Q17" s="151">
        <v>1586</v>
      </c>
      <c r="R17" s="151">
        <v>806</v>
      </c>
    </row>
    <row r="18" spans="1:18">
      <c r="A18" s="138">
        <v>14</v>
      </c>
      <c r="B18" s="151">
        <v>1470</v>
      </c>
      <c r="C18" s="151">
        <v>798</v>
      </c>
      <c r="E18" s="151">
        <v>1526</v>
      </c>
      <c r="F18" s="151">
        <v>882</v>
      </c>
      <c r="H18" s="37">
        <v>1624</v>
      </c>
      <c r="I18" s="37">
        <v>532</v>
      </c>
      <c r="K18" s="205">
        <v>1162</v>
      </c>
      <c r="L18" s="205">
        <v>1218</v>
      </c>
      <c r="N18" s="205">
        <v>434</v>
      </c>
      <c r="O18" s="205">
        <v>1022</v>
      </c>
      <c r="Q18" s="151">
        <v>1666</v>
      </c>
      <c r="R18" s="151">
        <v>560</v>
      </c>
    </row>
    <row r="19" spans="1:18">
      <c r="A19" s="138">
        <v>15</v>
      </c>
      <c r="B19" s="151">
        <v>570</v>
      </c>
      <c r="C19" s="151">
        <v>1170</v>
      </c>
      <c r="E19" s="151">
        <v>1905</v>
      </c>
      <c r="F19" s="151">
        <v>1350</v>
      </c>
      <c r="H19" s="37">
        <v>870</v>
      </c>
      <c r="I19" s="37">
        <v>1815</v>
      </c>
      <c r="K19" s="205">
        <v>1260</v>
      </c>
      <c r="L19" s="205">
        <v>1410</v>
      </c>
      <c r="N19" s="205">
        <v>600</v>
      </c>
      <c r="O19" s="205">
        <v>660</v>
      </c>
      <c r="Q19" s="151">
        <v>1575</v>
      </c>
      <c r="R19" s="151">
        <v>1335</v>
      </c>
    </row>
    <row r="20" spans="1:18">
      <c r="A20" s="138">
        <v>16</v>
      </c>
      <c r="B20" s="151">
        <v>784</v>
      </c>
      <c r="C20" s="151">
        <v>1008</v>
      </c>
      <c r="E20" s="151">
        <v>720</v>
      </c>
      <c r="F20" s="151">
        <v>2080</v>
      </c>
      <c r="H20" s="37">
        <v>800</v>
      </c>
      <c r="I20" s="37">
        <v>1200</v>
      </c>
      <c r="K20" s="205">
        <v>1232</v>
      </c>
      <c r="L20" s="205">
        <v>992</v>
      </c>
      <c r="N20" s="205">
        <v>2000</v>
      </c>
      <c r="O20" s="205">
        <v>1520</v>
      </c>
      <c r="Q20" s="151">
        <v>1520</v>
      </c>
      <c r="R20" s="151">
        <v>640</v>
      </c>
    </row>
    <row r="21" spans="1:18">
      <c r="A21" s="138">
        <v>17</v>
      </c>
      <c r="B21" s="151">
        <v>884</v>
      </c>
      <c r="C21" s="151">
        <v>714</v>
      </c>
      <c r="E21" s="151">
        <v>1955</v>
      </c>
      <c r="F21" s="151">
        <v>1462</v>
      </c>
      <c r="H21" s="37">
        <v>1326</v>
      </c>
      <c r="I21" s="37">
        <v>884</v>
      </c>
      <c r="K21" s="205">
        <v>1989</v>
      </c>
      <c r="L21" s="205">
        <v>1496</v>
      </c>
      <c r="N21" s="205">
        <v>2125</v>
      </c>
      <c r="O21" s="205">
        <v>1258</v>
      </c>
      <c r="Q21" s="151">
        <v>2091</v>
      </c>
      <c r="R21" s="151">
        <v>1836</v>
      </c>
    </row>
    <row r="22" spans="1:18">
      <c r="A22" s="138">
        <v>18</v>
      </c>
      <c r="B22" s="151">
        <v>756</v>
      </c>
      <c r="C22" s="151">
        <v>1818</v>
      </c>
      <c r="E22" s="151">
        <v>1080</v>
      </c>
      <c r="F22" s="151">
        <v>2196</v>
      </c>
      <c r="H22" s="37">
        <v>1170</v>
      </c>
      <c r="I22" s="37">
        <v>2088</v>
      </c>
      <c r="K22" s="205">
        <v>1818</v>
      </c>
      <c r="L22" s="205">
        <v>2196</v>
      </c>
      <c r="N22" s="205">
        <v>1098</v>
      </c>
      <c r="O22" s="205">
        <v>792</v>
      </c>
      <c r="Q22" s="151">
        <v>1116</v>
      </c>
      <c r="R22" s="151">
        <v>702</v>
      </c>
    </row>
    <row r="23" spans="1:18">
      <c r="A23" s="138">
        <v>19</v>
      </c>
      <c r="B23" s="151">
        <v>1767</v>
      </c>
      <c r="C23" s="151">
        <v>836</v>
      </c>
      <c r="E23" s="151">
        <v>1216</v>
      </c>
      <c r="F23" s="151">
        <v>1691</v>
      </c>
      <c r="H23" s="37">
        <v>2204</v>
      </c>
      <c r="I23" s="37">
        <v>1615</v>
      </c>
      <c r="K23" s="205">
        <v>1805</v>
      </c>
      <c r="L23" s="205">
        <v>1254</v>
      </c>
      <c r="N23" s="205">
        <v>2014</v>
      </c>
      <c r="O23" s="205">
        <v>1140</v>
      </c>
      <c r="Q23" s="151">
        <v>1539</v>
      </c>
      <c r="R23" s="151">
        <v>760</v>
      </c>
    </row>
    <row r="24" spans="1:18">
      <c r="A24" s="138">
        <v>20</v>
      </c>
      <c r="B24" s="151">
        <v>2380</v>
      </c>
      <c r="C24" s="151">
        <v>1680</v>
      </c>
      <c r="E24" s="151">
        <v>1760</v>
      </c>
      <c r="F24" s="151">
        <v>1020</v>
      </c>
      <c r="H24" s="37">
        <v>1300</v>
      </c>
      <c r="I24" s="37">
        <v>1240</v>
      </c>
      <c r="K24" s="205">
        <v>1980</v>
      </c>
      <c r="L24" s="205">
        <v>840</v>
      </c>
      <c r="N24" s="205">
        <v>1060</v>
      </c>
      <c r="O24" s="205">
        <v>2420</v>
      </c>
      <c r="Q24" s="151">
        <v>700</v>
      </c>
      <c r="R24" s="151">
        <v>1020</v>
      </c>
    </row>
    <row r="25" spans="1:18">
      <c r="A25" s="138">
        <v>21</v>
      </c>
      <c r="B25" s="151">
        <v>756</v>
      </c>
      <c r="C25" s="151">
        <v>1239</v>
      </c>
      <c r="E25" s="151">
        <v>1449</v>
      </c>
      <c r="F25" s="151">
        <v>798</v>
      </c>
      <c r="H25" s="37">
        <v>1155</v>
      </c>
      <c r="I25" s="37">
        <v>1386</v>
      </c>
      <c r="K25" s="205">
        <v>1932</v>
      </c>
      <c r="L25" s="205">
        <v>1092</v>
      </c>
      <c r="N25" s="205">
        <v>1113</v>
      </c>
      <c r="O25" s="205">
        <v>1365</v>
      </c>
      <c r="Q25" s="151">
        <v>1533</v>
      </c>
      <c r="R25" s="151">
        <v>2562</v>
      </c>
    </row>
    <row r="26" spans="1:18">
      <c r="A26" s="138">
        <v>22</v>
      </c>
      <c r="B26" s="151">
        <v>968</v>
      </c>
      <c r="C26" s="151">
        <v>2046</v>
      </c>
      <c r="E26" s="151">
        <v>1056</v>
      </c>
      <c r="F26" s="151">
        <v>1364</v>
      </c>
      <c r="H26" s="37">
        <v>2508</v>
      </c>
      <c r="I26" s="37">
        <v>946</v>
      </c>
      <c r="K26" s="205">
        <v>2794</v>
      </c>
      <c r="L26" s="205">
        <v>2882</v>
      </c>
      <c r="N26" s="205">
        <v>1606</v>
      </c>
      <c r="O26" s="205">
        <v>1584</v>
      </c>
      <c r="Q26" s="151">
        <v>1804</v>
      </c>
      <c r="R26" s="151">
        <v>1782</v>
      </c>
    </row>
    <row r="27" spans="1:18">
      <c r="A27" s="138">
        <v>23</v>
      </c>
      <c r="B27" s="151">
        <v>3036</v>
      </c>
      <c r="C27" s="151">
        <v>989</v>
      </c>
      <c r="E27" s="151">
        <v>1035</v>
      </c>
      <c r="F27" s="151">
        <v>2024</v>
      </c>
      <c r="H27" s="37">
        <v>1035</v>
      </c>
      <c r="I27" s="37">
        <v>2277</v>
      </c>
      <c r="K27" s="205">
        <v>2990</v>
      </c>
      <c r="L27" s="205">
        <v>2116</v>
      </c>
      <c r="N27" s="205">
        <v>2737</v>
      </c>
      <c r="O27" s="205">
        <v>2369</v>
      </c>
      <c r="Q27" s="151">
        <v>920</v>
      </c>
      <c r="R27" s="151">
        <v>1909</v>
      </c>
    </row>
    <row r="28" spans="1:18">
      <c r="A28" s="138">
        <v>24</v>
      </c>
      <c r="B28" s="151">
        <v>2928</v>
      </c>
      <c r="C28" s="151">
        <v>3168</v>
      </c>
      <c r="E28" s="151">
        <v>2568</v>
      </c>
      <c r="F28" s="151">
        <v>3072</v>
      </c>
      <c r="H28" s="37">
        <v>1560</v>
      </c>
      <c r="I28" s="37">
        <v>2208</v>
      </c>
      <c r="K28" s="205">
        <v>1512</v>
      </c>
      <c r="L28" s="205">
        <v>1464</v>
      </c>
      <c r="N28" s="205">
        <v>2184</v>
      </c>
      <c r="O28" s="205">
        <v>2016</v>
      </c>
      <c r="Q28" s="151">
        <v>2256</v>
      </c>
      <c r="R28" s="151">
        <v>2400</v>
      </c>
    </row>
    <row r="29" spans="1:18">
      <c r="A29" s="138">
        <v>25</v>
      </c>
      <c r="B29" s="151">
        <v>2675</v>
      </c>
      <c r="C29" s="151">
        <v>950</v>
      </c>
      <c r="E29" s="151">
        <v>2225</v>
      </c>
      <c r="F29" s="151">
        <v>1225</v>
      </c>
      <c r="H29" s="37">
        <v>2975</v>
      </c>
      <c r="I29" s="37">
        <v>1025</v>
      </c>
      <c r="K29" s="205">
        <v>2375</v>
      </c>
      <c r="L29" s="205">
        <v>1100</v>
      </c>
      <c r="N29" s="205">
        <v>2925</v>
      </c>
      <c r="O29" s="205">
        <v>3050</v>
      </c>
      <c r="Q29" s="151">
        <v>2100</v>
      </c>
      <c r="R29" s="151">
        <v>1800</v>
      </c>
    </row>
    <row r="30" spans="1:18">
      <c r="A30" s="138">
        <v>26</v>
      </c>
      <c r="B30" s="151">
        <v>3406</v>
      </c>
      <c r="C30" s="151">
        <v>2600</v>
      </c>
      <c r="E30" s="151">
        <v>2886</v>
      </c>
      <c r="F30" s="151">
        <v>1898</v>
      </c>
      <c r="H30" s="37">
        <v>1144</v>
      </c>
      <c r="I30" s="37">
        <v>2600</v>
      </c>
      <c r="K30" s="205">
        <v>2678</v>
      </c>
      <c r="L30" s="205">
        <v>2704</v>
      </c>
      <c r="N30" s="205">
        <v>1118</v>
      </c>
      <c r="O30" s="205">
        <v>2912</v>
      </c>
      <c r="Q30" s="151">
        <v>2574</v>
      </c>
      <c r="R30" s="151">
        <v>1300</v>
      </c>
    </row>
    <row r="31" spans="1:18">
      <c r="A31" s="138">
        <v>27</v>
      </c>
      <c r="B31" s="151">
        <v>1728</v>
      </c>
      <c r="C31" s="151">
        <v>2592</v>
      </c>
      <c r="E31" s="151">
        <v>1458</v>
      </c>
      <c r="F31" s="151">
        <v>2187</v>
      </c>
      <c r="H31" s="37">
        <v>3186</v>
      </c>
      <c r="I31" s="37">
        <v>3078</v>
      </c>
      <c r="K31" s="205">
        <v>1809</v>
      </c>
      <c r="L31" s="205">
        <v>1728</v>
      </c>
      <c r="N31" s="205">
        <v>837</v>
      </c>
      <c r="O31" s="205">
        <v>3402</v>
      </c>
      <c r="Q31" s="151">
        <v>1998</v>
      </c>
      <c r="R31" s="151">
        <v>3213</v>
      </c>
    </row>
    <row r="32" spans="1:18">
      <c r="A32" s="138">
        <v>28</v>
      </c>
      <c r="B32" s="151">
        <v>2520</v>
      </c>
      <c r="C32" s="151">
        <v>1876</v>
      </c>
      <c r="E32" s="151">
        <v>3052</v>
      </c>
      <c r="F32" s="151">
        <v>2996</v>
      </c>
      <c r="H32" s="37">
        <v>2324</v>
      </c>
      <c r="I32" s="37">
        <v>1876</v>
      </c>
      <c r="K32" s="205">
        <v>1204</v>
      </c>
      <c r="L32" s="205">
        <v>2128</v>
      </c>
      <c r="N32" s="205">
        <v>2016</v>
      </c>
      <c r="O32" s="205">
        <v>1148</v>
      </c>
      <c r="Q32" s="151">
        <v>3080</v>
      </c>
      <c r="R32" s="151">
        <v>1904</v>
      </c>
    </row>
    <row r="33" spans="1:18">
      <c r="A33" s="138">
        <v>29</v>
      </c>
      <c r="B33" s="151">
        <v>2059</v>
      </c>
      <c r="C33" s="151">
        <v>3045</v>
      </c>
      <c r="E33" s="151">
        <v>1392</v>
      </c>
      <c r="F33" s="151">
        <v>3509</v>
      </c>
      <c r="H33" s="37">
        <v>1595</v>
      </c>
      <c r="I33" s="37">
        <v>2204</v>
      </c>
      <c r="K33" s="205">
        <v>2813</v>
      </c>
      <c r="L33" s="205">
        <v>3741</v>
      </c>
      <c r="N33" s="205">
        <v>2204</v>
      </c>
      <c r="O33" s="205">
        <v>2349</v>
      </c>
      <c r="Q33" s="151">
        <v>3103</v>
      </c>
      <c r="R33" s="151">
        <v>957</v>
      </c>
    </row>
    <row r="34" spans="1:18">
      <c r="A34" s="138">
        <v>30</v>
      </c>
      <c r="B34" s="151">
        <v>2640</v>
      </c>
      <c r="C34" s="151">
        <v>3330</v>
      </c>
      <c r="E34" s="151">
        <v>3060</v>
      </c>
      <c r="F34" s="151">
        <v>3690</v>
      </c>
      <c r="H34" s="37">
        <v>2490</v>
      </c>
      <c r="I34" s="37">
        <v>1440</v>
      </c>
      <c r="K34" s="205">
        <v>3900</v>
      </c>
      <c r="L34" s="205">
        <v>3630</v>
      </c>
      <c r="N34" s="205">
        <v>3090</v>
      </c>
      <c r="O34" s="205">
        <v>2520</v>
      </c>
      <c r="Q34" s="151">
        <v>960</v>
      </c>
      <c r="R34" s="151">
        <v>1470</v>
      </c>
    </row>
    <row r="35" spans="1:18">
      <c r="A35" s="138">
        <v>31</v>
      </c>
      <c r="B35" s="151">
        <v>3534</v>
      </c>
      <c r="C35" s="151">
        <v>2356</v>
      </c>
      <c r="E35" s="151">
        <v>1209</v>
      </c>
      <c r="F35" s="151">
        <v>1891</v>
      </c>
      <c r="H35" s="37">
        <v>3627</v>
      </c>
      <c r="I35" s="37">
        <v>2666</v>
      </c>
      <c r="K35" s="205">
        <v>1581</v>
      </c>
      <c r="L35" s="205">
        <v>1891</v>
      </c>
      <c r="N35" s="205">
        <v>1426</v>
      </c>
      <c r="O35" s="205">
        <v>1736</v>
      </c>
      <c r="Q35" s="151">
        <v>1426</v>
      </c>
      <c r="R35" s="151">
        <v>1736</v>
      </c>
    </row>
    <row r="36" spans="1:18">
      <c r="A36" s="138">
        <v>32</v>
      </c>
      <c r="B36" s="151">
        <v>3488</v>
      </c>
      <c r="C36" s="151">
        <v>2240</v>
      </c>
      <c r="E36" s="151">
        <v>2464</v>
      </c>
      <c r="F36" s="151">
        <v>3264</v>
      </c>
      <c r="H36" s="37">
        <v>1728</v>
      </c>
      <c r="I36" s="37">
        <v>3520</v>
      </c>
      <c r="K36" s="205">
        <v>3936</v>
      </c>
      <c r="L36" s="205">
        <v>4224</v>
      </c>
      <c r="N36" s="205">
        <v>3776</v>
      </c>
      <c r="O36" s="205">
        <v>4064</v>
      </c>
      <c r="Q36" s="151">
        <v>3776</v>
      </c>
      <c r="R36" s="151">
        <v>4064</v>
      </c>
    </row>
    <row r="37" spans="1:18">
      <c r="A37" s="138">
        <v>33</v>
      </c>
      <c r="B37" s="151">
        <v>2739</v>
      </c>
      <c r="C37" s="151">
        <v>2673</v>
      </c>
      <c r="E37" s="151">
        <v>2673</v>
      </c>
      <c r="F37" s="151">
        <v>3333</v>
      </c>
      <c r="H37" s="37">
        <v>1716</v>
      </c>
      <c r="I37" s="37">
        <v>2079</v>
      </c>
      <c r="K37" s="205">
        <v>1749</v>
      </c>
      <c r="L37" s="205">
        <v>3201</v>
      </c>
      <c r="N37" s="205">
        <v>1584</v>
      </c>
      <c r="O37" s="205">
        <v>3036</v>
      </c>
      <c r="Q37" s="151">
        <v>1584</v>
      </c>
      <c r="R37" s="151">
        <v>3036</v>
      </c>
    </row>
    <row r="38" spans="1:18">
      <c r="A38" s="138">
        <v>34</v>
      </c>
      <c r="B38" s="151">
        <v>2006</v>
      </c>
      <c r="C38" s="151">
        <v>1734</v>
      </c>
      <c r="E38" s="151">
        <v>3502</v>
      </c>
      <c r="F38" s="151">
        <v>2380</v>
      </c>
      <c r="H38" s="37">
        <v>2890</v>
      </c>
      <c r="I38" s="37">
        <v>3944</v>
      </c>
      <c r="K38" s="205">
        <v>4556</v>
      </c>
      <c r="L38" s="205">
        <v>1530</v>
      </c>
      <c r="N38" s="205">
        <v>4386</v>
      </c>
      <c r="O38" s="205">
        <v>1360</v>
      </c>
      <c r="Q38" s="151">
        <v>4386</v>
      </c>
      <c r="R38" s="151">
        <v>1360</v>
      </c>
    </row>
    <row r="39" spans="1:18">
      <c r="A39" s="138">
        <v>35</v>
      </c>
      <c r="B39" s="151">
        <v>2555</v>
      </c>
      <c r="C39" s="151">
        <v>4585</v>
      </c>
      <c r="E39" s="151">
        <v>2870</v>
      </c>
      <c r="F39" s="151">
        <v>4130</v>
      </c>
      <c r="H39" s="37">
        <v>2065</v>
      </c>
      <c r="I39" s="37">
        <v>4340</v>
      </c>
      <c r="K39" s="205">
        <v>2660</v>
      </c>
      <c r="L39" s="205">
        <v>2135</v>
      </c>
      <c r="N39" s="205">
        <v>2485</v>
      </c>
      <c r="O39" s="205">
        <v>1960</v>
      </c>
      <c r="Q39" s="151">
        <v>2485</v>
      </c>
      <c r="R39" s="151">
        <v>1960</v>
      </c>
    </row>
    <row r="40" spans="1:18">
      <c r="A40" s="138">
        <v>36</v>
      </c>
      <c r="B40" s="151">
        <v>2556</v>
      </c>
      <c r="C40" s="151">
        <v>2268</v>
      </c>
      <c r="E40" s="151">
        <v>2556</v>
      </c>
      <c r="F40" s="151">
        <v>2268</v>
      </c>
      <c r="H40" s="37">
        <v>1440</v>
      </c>
      <c r="I40" s="37">
        <v>2016</v>
      </c>
      <c r="K40" s="205">
        <v>2556</v>
      </c>
      <c r="L40" s="205">
        <v>2268</v>
      </c>
      <c r="N40" s="205">
        <v>2376</v>
      </c>
      <c r="O40" s="205">
        <v>2088</v>
      </c>
      <c r="Q40" s="151">
        <v>2376</v>
      </c>
      <c r="R40" s="151">
        <v>2088</v>
      </c>
    </row>
    <row r="41" spans="1:18">
      <c r="A41" s="138">
        <v>37</v>
      </c>
      <c r="B41" s="151">
        <v>3885</v>
      </c>
      <c r="C41" s="151">
        <v>1554</v>
      </c>
      <c r="E41" s="151">
        <v>3885</v>
      </c>
      <c r="F41" s="151">
        <v>1554</v>
      </c>
      <c r="H41" s="37">
        <v>3959</v>
      </c>
      <c r="I41" s="37">
        <v>4366</v>
      </c>
      <c r="K41" s="205">
        <v>3885</v>
      </c>
      <c r="L41" s="205">
        <v>1554</v>
      </c>
      <c r="N41" s="205">
        <v>3700</v>
      </c>
      <c r="O41" s="205">
        <v>1369</v>
      </c>
      <c r="Q41" s="151">
        <v>3700</v>
      </c>
      <c r="R41" s="151">
        <v>1369</v>
      </c>
    </row>
    <row r="42" spans="1:18">
      <c r="A42" s="138">
        <v>38</v>
      </c>
      <c r="B42" s="151">
        <v>3420</v>
      </c>
      <c r="C42" s="151">
        <v>2166</v>
      </c>
      <c r="E42" s="151">
        <v>3420</v>
      </c>
      <c r="F42" s="151">
        <v>2166</v>
      </c>
      <c r="H42" s="37">
        <v>1368</v>
      </c>
      <c r="I42" s="37">
        <v>3572</v>
      </c>
      <c r="K42" s="205">
        <v>3420</v>
      </c>
      <c r="L42" s="205">
        <v>2166</v>
      </c>
      <c r="N42" s="205">
        <v>3230</v>
      </c>
      <c r="O42" s="205">
        <v>1976</v>
      </c>
      <c r="Q42" s="151">
        <v>3230</v>
      </c>
      <c r="R42" s="151">
        <v>1976</v>
      </c>
    </row>
    <row r="43" spans="1:18">
      <c r="A43" s="138">
        <v>39</v>
      </c>
      <c r="B43" s="151">
        <v>2769</v>
      </c>
      <c r="C43" s="151">
        <v>4836</v>
      </c>
      <c r="E43" s="151">
        <v>2769</v>
      </c>
      <c r="F43" s="151">
        <v>4836</v>
      </c>
      <c r="H43" s="37">
        <v>3276</v>
      </c>
      <c r="I43" s="37">
        <v>4290</v>
      </c>
      <c r="K43" s="205">
        <v>2769</v>
      </c>
      <c r="L43" s="205">
        <v>4836</v>
      </c>
      <c r="N43" s="205">
        <v>2574</v>
      </c>
      <c r="O43" s="205">
        <v>4641</v>
      </c>
      <c r="Q43" s="151">
        <v>2574</v>
      </c>
      <c r="R43" s="151">
        <v>4641</v>
      </c>
    </row>
    <row r="44" spans="1:18">
      <c r="A44" s="138">
        <v>40</v>
      </c>
      <c r="B44" s="151">
        <v>2080</v>
      </c>
      <c r="C44" s="151">
        <v>1760</v>
      </c>
      <c r="E44" s="151">
        <v>2080</v>
      </c>
      <c r="F44" s="151">
        <v>1760</v>
      </c>
      <c r="H44" s="37">
        <v>2480</v>
      </c>
      <c r="I44" s="37">
        <v>2160</v>
      </c>
      <c r="K44" s="205">
        <v>2080</v>
      </c>
      <c r="L44" s="205">
        <v>1760</v>
      </c>
      <c r="N44" s="205">
        <v>1880</v>
      </c>
      <c r="O44" s="205">
        <v>1560</v>
      </c>
      <c r="Q44" s="151">
        <v>1880</v>
      </c>
      <c r="R44" s="151">
        <v>1560</v>
      </c>
    </row>
    <row r="45" spans="1:18">
      <c r="A45" s="138">
        <v>41</v>
      </c>
      <c r="B45" s="151">
        <v>1886</v>
      </c>
      <c r="C45" s="151">
        <v>5412</v>
      </c>
      <c r="E45" s="151">
        <v>1886</v>
      </c>
      <c r="F45" s="151">
        <v>5412</v>
      </c>
      <c r="H45" s="37">
        <v>3731</v>
      </c>
      <c r="I45" s="37">
        <v>5289</v>
      </c>
      <c r="K45" s="205">
        <v>1886</v>
      </c>
      <c r="L45" s="205">
        <v>5412</v>
      </c>
      <c r="N45" s="205">
        <v>1681</v>
      </c>
      <c r="O45" s="205">
        <v>5207</v>
      </c>
      <c r="Q45" s="151">
        <v>1681</v>
      </c>
      <c r="R45" s="151">
        <v>5207</v>
      </c>
    </row>
    <row r="46" spans="1:18">
      <c r="A46" s="138">
        <v>42</v>
      </c>
      <c r="B46" s="151">
        <v>1596</v>
      </c>
      <c r="C46" s="151">
        <v>3150</v>
      </c>
      <c r="E46" s="151">
        <v>1596</v>
      </c>
      <c r="F46" s="151">
        <v>3150</v>
      </c>
      <c r="H46" s="37">
        <v>3612</v>
      </c>
      <c r="I46" s="37">
        <v>3150</v>
      </c>
      <c r="K46" s="205">
        <v>1596</v>
      </c>
      <c r="L46" s="205">
        <v>3150</v>
      </c>
      <c r="N46" s="205">
        <v>1386</v>
      </c>
      <c r="O46" s="205">
        <v>2940</v>
      </c>
      <c r="Q46" s="151">
        <v>1386</v>
      </c>
      <c r="R46" s="151">
        <v>2940</v>
      </c>
    </row>
    <row r="47" spans="1:18">
      <c r="A47" s="138">
        <v>43</v>
      </c>
      <c r="B47" s="151">
        <v>2107</v>
      </c>
      <c r="C47" s="151">
        <v>4214</v>
      </c>
      <c r="E47" s="151">
        <v>2107</v>
      </c>
      <c r="F47" s="151">
        <v>4214</v>
      </c>
      <c r="H47" s="37">
        <v>1634</v>
      </c>
      <c r="I47" s="37">
        <v>5246</v>
      </c>
      <c r="K47" s="205">
        <v>2107</v>
      </c>
      <c r="L47" s="205">
        <v>4214</v>
      </c>
      <c r="N47" s="205">
        <v>1892</v>
      </c>
      <c r="O47" s="205">
        <v>3999</v>
      </c>
      <c r="Q47" s="151">
        <v>1892</v>
      </c>
      <c r="R47" s="151">
        <v>3999</v>
      </c>
    </row>
    <row r="48" spans="1:18">
      <c r="A48" s="138">
        <v>44</v>
      </c>
      <c r="B48" s="151">
        <v>3696</v>
      </c>
      <c r="C48" s="151">
        <v>2992</v>
      </c>
      <c r="E48" s="151">
        <v>3696</v>
      </c>
      <c r="F48" s="151">
        <v>2992</v>
      </c>
      <c r="H48" s="37">
        <v>4400</v>
      </c>
      <c r="I48" s="37">
        <v>2420</v>
      </c>
      <c r="K48" s="205">
        <v>3696</v>
      </c>
      <c r="L48" s="205">
        <v>2992</v>
      </c>
      <c r="N48" s="205">
        <v>3476</v>
      </c>
      <c r="O48" s="205">
        <v>2772</v>
      </c>
      <c r="Q48" s="151">
        <v>3476</v>
      </c>
      <c r="R48" s="151">
        <v>2772</v>
      </c>
    </row>
    <row r="49" spans="1:18">
      <c r="A49" s="138">
        <v>45</v>
      </c>
      <c r="B49" s="151">
        <v>2655</v>
      </c>
      <c r="C49" s="151">
        <v>2340</v>
      </c>
      <c r="E49" s="151">
        <v>2655</v>
      </c>
      <c r="F49" s="151">
        <v>2340</v>
      </c>
      <c r="H49" s="37">
        <v>1845</v>
      </c>
      <c r="I49" s="37">
        <v>5985</v>
      </c>
      <c r="K49" s="205">
        <v>2655</v>
      </c>
      <c r="L49" s="205">
        <v>2340</v>
      </c>
      <c r="N49" s="205">
        <v>2430</v>
      </c>
      <c r="O49" s="205">
        <v>2115</v>
      </c>
      <c r="Q49" s="151">
        <v>2430</v>
      </c>
      <c r="R49" s="151">
        <v>2115</v>
      </c>
    </row>
    <row r="50" spans="1:18">
      <c r="A50" s="138">
        <v>46</v>
      </c>
      <c r="B50" s="151">
        <v>2714</v>
      </c>
      <c r="C50" s="151">
        <v>4048</v>
      </c>
      <c r="E50" s="151">
        <v>2714</v>
      </c>
      <c r="F50" s="151">
        <v>4048</v>
      </c>
      <c r="H50" s="37">
        <v>5060</v>
      </c>
      <c r="I50" s="37">
        <v>2576</v>
      </c>
      <c r="K50" s="205">
        <v>2714</v>
      </c>
      <c r="L50" s="205">
        <v>4048</v>
      </c>
      <c r="N50" s="205">
        <v>2484</v>
      </c>
      <c r="O50" s="205">
        <v>3818</v>
      </c>
      <c r="Q50" s="151">
        <v>2484</v>
      </c>
      <c r="R50" s="151">
        <v>3818</v>
      </c>
    </row>
    <row r="51" spans="1:18">
      <c r="A51" s="138">
        <v>47</v>
      </c>
      <c r="B51" s="151">
        <v>4371</v>
      </c>
      <c r="C51" s="151">
        <v>5358</v>
      </c>
      <c r="E51" s="151">
        <v>4371</v>
      </c>
      <c r="F51" s="151">
        <v>5358</v>
      </c>
      <c r="H51" s="37">
        <v>6110</v>
      </c>
      <c r="I51" s="37">
        <v>5687</v>
      </c>
      <c r="K51" s="205">
        <v>4371</v>
      </c>
      <c r="L51" s="205">
        <v>5358</v>
      </c>
      <c r="N51" s="205">
        <v>4136</v>
      </c>
      <c r="O51" s="205">
        <v>5123</v>
      </c>
      <c r="Q51" s="151">
        <v>4136</v>
      </c>
      <c r="R51" s="151">
        <v>5123</v>
      </c>
    </row>
    <row r="52" spans="1:18">
      <c r="A52" s="138">
        <v>48</v>
      </c>
      <c r="B52" s="151">
        <v>2064</v>
      </c>
      <c r="C52" s="151">
        <v>5136</v>
      </c>
      <c r="E52" s="151">
        <v>2064</v>
      </c>
      <c r="F52" s="151">
        <v>5136</v>
      </c>
      <c r="H52" s="37">
        <v>4896</v>
      </c>
      <c r="I52" s="37">
        <v>4128</v>
      </c>
      <c r="K52" s="205">
        <v>2064</v>
      </c>
      <c r="L52" s="205">
        <v>5136</v>
      </c>
      <c r="N52" s="205">
        <v>1824</v>
      </c>
      <c r="O52" s="205">
        <v>4896</v>
      </c>
      <c r="Q52" s="151">
        <v>1824</v>
      </c>
      <c r="R52" s="151">
        <v>4896</v>
      </c>
    </row>
    <row r="53" spans="1:18">
      <c r="A53" s="138">
        <v>49</v>
      </c>
      <c r="B53" s="151">
        <v>6468</v>
      </c>
      <c r="C53" s="151">
        <v>3675</v>
      </c>
      <c r="E53" s="151">
        <v>6468</v>
      </c>
      <c r="F53" s="151">
        <v>3675</v>
      </c>
      <c r="H53" s="37">
        <v>5684</v>
      </c>
      <c r="I53" s="37">
        <v>1862</v>
      </c>
      <c r="K53" s="205">
        <v>6468</v>
      </c>
      <c r="L53" s="205">
        <v>3675</v>
      </c>
      <c r="N53" s="205">
        <v>6223</v>
      </c>
      <c r="O53" s="205">
        <v>3430</v>
      </c>
      <c r="Q53" s="151">
        <v>6223</v>
      </c>
      <c r="R53" s="151">
        <v>3430</v>
      </c>
    </row>
    <row r="54" spans="1:18">
      <c r="A54" s="138">
        <v>50</v>
      </c>
      <c r="B54" s="151">
        <v>6600</v>
      </c>
      <c r="C54" s="151">
        <v>4900</v>
      </c>
      <c r="E54" s="151">
        <v>6600</v>
      </c>
      <c r="F54" s="151">
        <v>4900</v>
      </c>
      <c r="H54" s="37">
        <v>2900</v>
      </c>
      <c r="I54" s="37">
        <v>6050</v>
      </c>
      <c r="K54" s="205">
        <v>6600</v>
      </c>
      <c r="L54" s="205">
        <v>4900</v>
      </c>
      <c r="N54" s="205">
        <v>6350</v>
      </c>
      <c r="O54" s="205">
        <v>4650</v>
      </c>
      <c r="Q54" s="151">
        <v>6350</v>
      </c>
      <c r="R54" s="151">
        <v>4650</v>
      </c>
    </row>
    <row r="55" spans="1:18">
      <c r="A55" s="138">
        <v>51</v>
      </c>
      <c r="B55" s="151">
        <v>1938</v>
      </c>
      <c r="C55" s="151">
        <v>3468</v>
      </c>
      <c r="E55" s="151">
        <v>1938</v>
      </c>
      <c r="F55" s="151">
        <v>3468</v>
      </c>
      <c r="H55" s="37">
        <v>2550</v>
      </c>
      <c r="I55" s="37">
        <v>3825</v>
      </c>
      <c r="K55" s="205">
        <v>1938</v>
      </c>
      <c r="L55" s="205">
        <v>3468</v>
      </c>
      <c r="N55" s="205">
        <v>1683</v>
      </c>
      <c r="O55" s="205">
        <v>3213</v>
      </c>
      <c r="Q55" s="151">
        <v>1683</v>
      </c>
      <c r="R55" s="151">
        <v>3213</v>
      </c>
    </row>
    <row r="56" spans="1:18">
      <c r="A56" s="138">
        <v>52</v>
      </c>
      <c r="B56" s="151">
        <v>2184</v>
      </c>
      <c r="C56" s="151">
        <v>2704</v>
      </c>
      <c r="E56" s="151">
        <v>2184</v>
      </c>
      <c r="F56" s="151">
        <v>2704</v>
      </c>
      <c r="H56" s="37">
        <v>4056</v>
      </c>
      <c r="I56" s="37">
        <v>2704</v>
      </c>
      <c r="K56" s="205">
        <v>2184</v>
      </c>
      <c r="L56" s="205">
        <v>2704</v>
      </c>
      <c r="N56" s="205">
        <v>1924</v>
      </c>
      <c r="O56" s="205">
        <v>2444</v>
      </c>
      <c r="Q56" s="151">
        <v>1924</v>
      </c>
      <c r="R56" s="151">
        <v>2444</v>
      </c>
    </row>
    <row r="57" spans="1:18">
      <c r="A57" s="138">
        <v>53</v>
      </c>
      <c r="B57" s="151">
        <v>3021</v>
      </c>
      <c r="C57" s="151">
        <v>3869</v>
      </c>
      <c r="E57" s="151">
        <v>3021</v>
      </c>
      <c r="F57" s="151">
        <v>3869</v>
      </c>
      <c r="H57" s="37">
        <v>3445</v>
      </c>
      <c r="I57" s="37">
        <v>6148</v>
      </c>
      <c r="K57" s="205">
        <v>3021</v>
      </c>
      <c r="L57" s="205">
        <v>3869</v>
      </c>
      <c r="N57" s="205">
        <v>2756</v>
      </c>
      <c r="O57" s="205">
        <v>3604</v>
      </c>
      <c r="Q57" s="151">
        <v>2756</v>
      </c>
      <c r="R57" s="151">
        <v>3604</v>
      </c>
    </row>
    <row r="58" spans="1:18">
      <c r="A58" s="138">
        <v>54</v>
      </c>
      <c r="B58" s="151">
        <v>3186</v>
      </c>
      <c r="C58" s="151">
        <v>3834</v>
      </c>
      <c r="E58" s="151">
        <v>3186</v>
      </c>
      <c r="F58" s="151">
        <v>3834</v>
      </c>
      <c r="H58" s="37">
        <v>6264</v>
      </c>
      <c r="I58" s="37">
        <v>4590</v>
      </c>
      <c r="K58" s="205">
        <v>3186</v>
      </c>
      <c r="L58" s="205">
        <v>3834</v>
      </c>
      <c r="N58" s="205">
        <v>2916</v>
      </c>
      <c r="O58" s="205">
        <v>3564</v>
      </c>
      <c r="Q58" s="151">
        <v>2916</v>
      </c>
      <c r="R58" s="151">
        <v>3564</v>
      </c>
    </row>
    <row r="59" spans="1:18">
      <c r="A59" s="138">
        <v>55</v>
      </c>
      <c r="B59" s="151">
        <v>5115</v>
      </c>
      <c r="C59" s="151">
        <v>6710</v>
      </c>
      <c r="E59" s="151">
        <v>5115</v>
      </c>
      <c r="F59" s="151">
        <v>6710</v>
      </c>
      <c r="H59" s="37">
        <v>3575</v>
      </c>
      <c r="I59" s="37">
        <v>3410</v>
      </c>
      <c r="K59" s="205">
        <v>5115</v>
      </c>
      <c r="L59" s="205">
        <v>6710</v>
      </c>
      <c r="N59" s="205">
        <v>4840</v>
      </c>
      <c r="O59" s="205">
        <v>6435</v>
      </c>
      <c r="Q59" s="151">
        <v>4840</v>
      </c>
      <c r="R59" s="151">
        <v>6435</v>
      </c>
    </row>
    <row r="60" spans="1:18">
      <c r="A60" s="138">
        <v>56</v>
      </c>
      <c r="B60" s="151">
        <v>5376</v>
      </c>
      <c r="C60" s="151">
        <v>5992</v>
      </c>
      <c r="E60" s="151">
        <v>5376</v>
      </c>
      <c r="F60" s="151">
        <v>5992</v>
      </c>
      <c r="H60" s="37">
        <v>3080</v>
      </c>
      <c r="I60" s="37">
        <v>3696</v>
      </c>
      <c r="K60" s="205">
        <v>5376</v>
      </c>
      <c r="L60" s="205">
        <v>5992</v>
      </c>
      <c r="N60" s="205">
        <v>5096</v>
      </c>
      <c r="O60" s="205">
        <v>5712</v>
      </c>
      <c r="Q60" s="151">
        <v>5096</v>
      </c>
      <c r="R60" s="151">
        <v>5712</v>
      </c>
    </row>
    <row r="61" spans="1:18">
      <c r="A61" s="138">
        <v>57</v>
      </c>
      <c r="B61" s="151">
        <v>3819</v>
      </c>
      <c r="C61" s="151">
        <v>2964</v>
      </c>
      <c r="E61" s="151">
        <v>3819</v>
      </c>
      <c r="F61" s="151">
        <v>2964</v>
      </c>
      <c r="H61" s="37">
        <v>6498</v>
      </c>
      <c r="I61" s="37">
        <v>2451</v>
      </c>
      <c r="K61" s="205">
        <v>3819</v>
      </c>
      <c r="L61" s="205">
        <v>2964</v>
      </c>
      <c r="N61" s="205">
        <v>3534</v>
      </c>
      <c r="O61" s="205">
        <v>2679</v>
      </c>
      <c r="Q61" s="151">
        <v>3534</v>
      </c>
      <c r="R61" s="151">
        <v>2679</v>
      </c>
    </row>
    <row r="62" spans="1:18">
      <c r="A62" s="138">
        <v>58</v>
      </c>
      <c r="B62" s="151">
        <v>2668</v>
      </c>
      <c r="C62" s="151">
        <v>2668</v>
      </c>
      <c r="E62" s="151">
        <v>2668</v>
      </c>
      <c r="F62" s="151">
        <v>2668</v>
      </c>
      <c r="H62" s="37">
        <v>2610</v>
      </c>
      <c r="I62" s="37">
        <v>5742</v>
      </c>
      <c r="K62" s="205">
        <v>2668</v>
      </c>
      <c r="L62" s="205">
        <v>2668</v>
      </c>
      <c r="N62" s="205">
        <v>2378</v>
      </c>
      <c r="O62" s="205">
        <v>2378</v>
      </c>
      <c r="Q62" s="151">
        <v>2378</v>
      </c>
      <c r="R62" s="151">
        <v>2378</v>
      </c>
    </row>
    <row r="63" spans="1:18">
      <c r="A63" s="138">
        <v>59</v>
      </c>
      <c r="B63" s="151">
        <v>2478</v>
      </c>
      <c r="C63" s="151">
        <v>5723</v>
      </c>
      <c r="E63" s="151">
        <v>2478</v>
      </c>
      <c r="F63" s="151">
        <v>5723</v>
      </c>
      <c r="H63" s="37">
        <v>3835</v>
      </c>
      <c r="I63" s="37">
        <v>5428</v>
      </c>
      <c r="K63" s="205">
        <v>2478</v>
      </c>
      <c r="L63" s="205">
        <v>5723</v>
      </c>
      <c r="N63" s="205">
        <v>2183</v>
      </c>
      <c r="O63" s="205">
        <v>5428</v>
      </c>
      <c r="Q63" s="151">
        <v>2183</v>
      </c>
      <c r="R63" s="151">
        <v>5428</v>
      </c>
    </row>
    <row r="64" spans="1:18">
      <c r="A64" s="138">
        <v>60</v>
      </c>
      <c r="B64" s="151">
        <v>3420</v>
      </c>
      <c r="C64" s="151">
        <v>5280</v>
      </c>
      <c r="E64" s="151">
        <v>3420</v>
      </c>
      <c r="F64" s="151">
        <v>5280</v>
      </c>
      <c r="H64" s="37">
        <v>7140</v>
      </c>
      <c r="I64" s="37">
        <v>2460</v>
      </c>
      <c r="K64" s="205">
        <v>3420</v>
      </c>
      <c r="L64" s="205">
        <v>5280</v>
      </c>
      <c r="N64" s="205">
        <v>3120</v>
      </c>
      <c r="O64" s="205">
        <v>4980</v>
      </c>
      <c r="Q64" s="151">
        <v>3120</v>
      </c>
      <c r="R64" s="151">
        <v>4980</v>
      </c>
    </row>
    <row r="65" spans="1:18">
      <c r="A65" s="138">
        <v>61</v>
      </c>
      <c r="B65" s="151">
        <v>6771</v>
      </c>
      <c r="C65" s="151">
        <v>6954</v>
      </c>
      <c r="E65" s="151">
        <v>6771</v>
      </c>
      <c r="F65" s="151">
        <v>6954</v>
      </c>
      <c r="H65" s="37">
        <v>2684</v>
      </c>
      <c r="I65" s="37">
        <v>6100</v>
      </c>
      <c r="K65" s="205">
        <v>6771</v>
      </c>
      <c r="L65" s="205">
        <v>6954</v>
      </c>
      <c r="N65" s="205">
        <v>6466</v>
      </c>
      <c r="O65" s="205">
        <v>6649</v>
      </c>
      <c r="Q65" s="151">
        <v>6466</v>
      </c>
      <c r="R65" s="151">
        <v>6649</v>
      </c>
    </row>
    <row r="66" spans="1:18">
      <c r="A66" s="138">
        <v>62</v>
      </c>
      <c r="B66" s="151">
        <v>4712</v>
      </c>
      <c r="C66" s="151">
        <v>4650</v>
      </c>
      <c r="E66" s="151">
        <v>4712</v>
      </c>
      <c r="F66" s="151">
        <v>4650</v>
      </c>
      <c r="H66" s="37">
        <v>7316</v>
      </c>
      <c r="I66" s="37">
        <v>7068</v>
      </c>
      <c r="K66" s="205">
        <v>4712</v>
      </c>
      <c r="L66" s="205">
        <v>4650</v>
      </c>
      <c r="N66" s="205">
        <v>4402</v>
      </c>
      <c r="O66" s="205">
        <v>4340</v>
      </c>
      <c r="Q66" s="151">
        <v>4402</v>
      </c>
      <c r="R66" s="151">
        <v>4340</v>
      </c>
    </row>
    <row r="67" spans="1:18">
      <c r="A67" s="138">
        <v>63</v>
      </c>
      <c r="B67" s="151">
        <v>6804</v>
      </c>
      <c r="C67" s="151">
        <v>6174</v>
      </c>
      <c r="E67" s="151">
        <v>6804</v>
      </c>
      <c r="F67" s="151">
        <v>6174</v>
      </c>
      <c r="H67" s="37">
        <v>5229</v>
      </c>
      <c r="I67" s="37">
        <v>4221</v>
      </c>
      <c r="K67" s="205">
        <v>6804</v>
      </c>
      <c r="L67" s="205">
        <v>6174</v>
      </c>
      <c r="N67" s="205">
        <v>6489</v>
      </c>
      <c r="O67" s="205">
        <v>5859</v>
      </c>
      <c r="Q67" s="151">
        <v>6489</v>
      </c>
      <c r="R67" s="151">
        <v>5859</v>
      </c>
    </row>
    <row r="68" spans="1:18">
      <c r="A68" s="138">
        <v>64</v>
      </c>
      <c r="B68" s="151">
        <v>5568</v>
      </c>
      <c r="C68" s="151">
        <v>4544</v>
      </c>
      <c r="E68" s="151">
        <v>5568</v>
      </c>
      <c r="F68" s="151">
        <v>4544</v>
      </c>
      <c r="H68" s="37">
        <v>3520</v>
      </c>
      <c r="I68" s="37">
        <v>4864</v>
      </c>
      <c r="K68" s="205">
        <v>5568</v>
      </c>
      <c r="L68" s="205">
        <v>4544</v>
      </c>
      <c r="N68" s="205">
        <v>5248</v>
      </c>
      <c r="O68" s="205">
        <v>4224</v>
      </c>
      <c r="Q68" s="151">
        <v>5248</v>
      </c>
      <c r="R68" s="151">
        <v>4224</v>
      </c>
    </row>
    <row r="69" spans="1:18">
      <c r="A69" s="138">
        <v>65</v>
      </c>
      <c r="B69" s="151">
        <v>5460</v>
      </c>
      <c r="C69" s="151">
        <v>3380</v>
      </c>
      <c r="E69" s="151">
        <v>5460</v>
      </c>
      <c r="F69" s="151">
        <v>3380</v>
      </c>
      <c r="H69" s="37">
        <v>5395</v>
      </c>
      <c r="I69" s="37">
        <v>3120</v>
      </c>
      <c r="K69" s="205">
        <v>5460</v>
      </c>
      <c r="L69" s="205">
        <v>3380</v>
      </c>
      <c r="N69" s="205">
        <v>5135</v>
      </c>
      <c r="O69" s="205">
        <v>3055</v>
      </c>
      <c r="Q69" s="151">
        <v>5135</v>
      </c>
      <c r="R69" s="151">
        <v>3055</v>
      </c>
    </row>
    <row r="70" spans="1:18">
      <c r="A70" s="138">
        <v>66</v>
      </c>
      <c r="B70" s="151">
        <v>3894</v>
      </c>
      <c r="C70" s="151">
        <v>5478</v>
      </c>
      <c r="E70" s="151">
        <v>3894</v>
      </c>
      <c r="F70" s="151">
        <v>5478</v>
      </c>
      <c r="H70" s="37">
        <v>7722</v>
      </c>
      <c r="I70" s="37">
        <v>5676</v>
      </c>
      <c r="K70" s="205">
        <v>3894</v>
      </c>
      <c r="L70" s="205">
        <v>5478</v>
      </c>
      <c r="N70" s="205">
        <v>3564</v>
      </c>
      <c r="O70" s="205">
        <v>5148</v>
      </c>
      <c r="Q70" s="151">
        <v>3564</v>
      </c>
      <c r="R70" s="151">
        <v>5148</v>
      </c>
    </row>
    <row r="71" spans="1:18">
      <c r="A71" s="138">
        <v>67</v>
      </c>
      <c r="B71" s="151">
        <v>4556</v>
      </c>
      <c r="C71" s="151">
        <v>6566</v>
      </c>
      <c r="E71" s="151">
        <v>4556</v>
      </c>
      <c r="F71" s="151">
        <v>6566</v>
      </c>
      <c r="H71" s="37">
        <v>3618</v>
      </c>
      <c r="I71" s="37">
        <v>7370</v>
      </c>
      <c r="K71" s="205">
        <v>4556</v>
      </c>
      <c r="L71" s="205">
        <v>6566</v>
      </c>
      <c r="N71" s="205">
        <v>4221</v>
      </c>
      <c r="O71" s="205">
        <v>6231</v>
      </c>
      <c r="Q71" s="151">
        <v>4221</v>
      </c>
      <c r="R71" s="151">
        <v>6231</v>
      </c>
    </row>
    <row r="72" spans="1:18">
      <c r="A72" s="138">
        <v>68</v>
      </c>
      <c r="B72" s="151">
        <v>3536</v>
      </c>
      <c r="C72" s="151">
        <v>6596</v>
      </c>
      <c r="E72" s="151">
        <v>3536</v>
      </c>
      <c r="F72" s="151">
        <v>6596</v>
      </c>
      <c r="H72" s="37">
        <v>3536</v>
      </c>
      <c r="I72" s="37">
        <v>4284</v>
      </c>
      <c r="K72" s="205">
        <v>3536</v>
      </c>
      <c r="L72" s="205">
        <v>6596</v>
      </c>
      <c r="N72" s="205">
        <v>3196</v>
      </c>
      <c r="O72" s="205">
        <v>6256</v>
      </c>
      <c r="Q72" s="151">
        <v>3196</v>
      </c>
      <c r="R72" s="151">
        <v>6256</v>
      </c>
    </row>
    <row r="73" spans="1:18">
      <c r="A73" s="138">
        <v>69</v>
      </c>
      <c r="B73" s="151">
        <v>2898</v>
      </c>
      <c r="C73" s="151">
        <v>5382</v>
      </c>
      <c r="E73" s="151">
        <v>2898</v>
      </c>
      <c r="F73" s="151">
        <v>5382</v>
      </c>
      <c r="H73" s="37">
        <v>5865</v>
      </c>
      <c r="I73" s="37">
        <v>8004</v>
      </c>
      <c r="K73" s="205">
        <v>2898</v>
      </c>
      <c r="L73" s="205">
        <v>5382</v>
      </c>
      <c r="N73" s="205">
        <v>2553</v>
      </c>
      <c r="O73" s="205">
        <v>5037</v>
      </c>
      <c r="Q73" s="151">
        <v>2553</v>
      </c>
      <c r="R73" s="151">
        <v>5037</v>
      </c>
    </row>
    <row r="74" spans="1:18">
      <c r="A74" s="138">
        <v>70</v>
      </c>
      <c r="B74" s="151">
        <v>3990</v>
      </c>
      <c r="C74" s="151">
        <v>4760</v>
      </c>
      <c r="E74" s="151">
        <v>3990</v>
      </c>
      <c r="F74" s="151">
        <v>4760</v>
      </c>
      <c r="H74" s="37">
        <v>4130</v>
      </c>
      <c r="I74" s="37">
        <v>8680</v>
      </c>
      <c r="K74" s="205">
        <v>3990</v>
      </c>
      <c r="L74" s="205">
        <v>4760</v>
      </c>
      <c r="N74" s="205">
        <v>3640</v>
      </c>
      <c r="O74" s="205">
        <v>4410</v>
      </c>
      <c r="Q74" s="151">
        <v>3640</v>
      </c>
      <c r="R74" s="151">
        <v>4410</v>
      </c>
    </row>
    <row r="75" spans="1:18">
      <c r="A75" s="138">
        <v>71</v>
      </c>
      <c r="B75" s="151">
        <v>9372</v>
      </c>
      <c r="C75" s="151">
        <v>3266</v>
      </c>
      <c r="E75" s="151">
        <v>9372</v>
      </c>
      <c r="F75" s="151">
        <v>3266</v>
      </c>
      <c r="H75" s="37">
        <v>2840</v>
      </c>
      <c r="I75" s="37">
        <v>3976</v>
      </c>
      <c r="K75" s="205">
        <v>9372</v>
      </c>
      <c r="L75" s="205">
        <v>3266</v>
      </c>
      <c r="N75" s="205">
        <v>9017</v>
      </c>
      <c r="O75" s="205">
        <v>2911</v>
      </c>
      <c r="Q75" s="151">
        <v>9017</v>
      </c>
      <c r="R75" s="151">
        <v>2911</v>
      </c>
    </row>
    <row r="76" spans="1:18">
      <c r="A76" s="138">
        <v>72</v>
      </c>
      <c r="B76" s="151">
        <v>2736</v>
      </c>
      <c r="C76" s="151">
        <v>9504</v>
      </c>
      <c r="E76" s="151">
        <v>2736</v>
      </c>
      <c r="F76" s="151">
        <v>9504</v>
      </c>
      <c r="H76" s="37">
        <v>7704</v>
      </c>
      <c r="I76" s="37">
        <v>8496</v>
      </c>
      <c r="K76" s="205">
        <v>2736</v>
      </c>
      <c r="L76" s="205">
        <v>9504</v>
      </c>
      <c r="N76" s="205">
        <v>2376</v>
      </c>
      <c r="O76" s="205">
        <v>9144</v>
      </c>
      <c r="Q76" s="151">
        <v>2376</v>
      </c>
      <c r="R76" s="151">
        <v>9144</v>
      </c>
    </row>
    <row r="77" spans="1:18">
      <c r="A77" s="138">
        <v>73</v>
      </c>
      <c r="B77" s="151">
        <v>4161</v>
      </c>
      <c r="C77" s="151">
        <v>2774</v>
      </c>
      <c r="E77" s="151">
        <v>4161</v>
      </c>
      <c r="F77" s="151">
        <v>2774</v>
      </c>
      <c r="H77" s="37">
        <v>2628</v>
      </c>
      <c r="I77" s="37">
        <v>6862</v>
      </c>
      <c r="K77" s="205">
        <v>4161</v>
      </c>
      <c r="L77" s="205">
        <v>2774</v>
      </c>
      <c r="N77" s="205">
        <v>3796</v>
      </c>
      <c r="O77" s="205">
        <v>2409</v>
      </c>
      <c r="Q77" s="151">
        <v>3796</v>
      </c>
      <c r="R77" s="151">
        <v>2409</v>
      </c>
    </row>
    <row r="78" spans="1:18">
      <c r="A78" s="138">
        <v>74</v>
      </c>
      <c r="B78" s="151">
        <v>9176</v>
      </c>
      <c r="C78" s="151">
        <v>7770</v>
      </c>
      <c r="E78" s="151">
        <v>9176</v>
      </c>
      <c r="F78" s="151">
        <v>7770</v>
      </c>
      <c r="H78" s="37">
        <v>6216</v>
      </c>
      <c r="I78" s="37">
        <v>8140</v>
      </c>
      <c r="K78" s="205">
        <v>9176</v>
      </c>
      <c r="L78" s="205">
        <v>7770</v>
      </c>
      <c r="N78" s="205">
        <v>8806</v>
      </c>
      <c r="O78" s="205">
        <v>7400</v>
      </c>
      <c r="Q78" s="151">
        <v>8806</v>
      </c>
      <c r="R78" s="151">
        <v>7400</v>
      </c>
    </row>
    <row r="79" spans="1:18">
      <c r="A79" s="138">
        <v>75</v>
      </c>
      <c r="B79" s="151">
        <v>7200</v>
      </c>
      <c r="C79" s="151">
        <v>6750</v>
      </c>
      <c r="E79" s="151">
        <v>7200</v>
      </c>
      <c r="F79" s="151">
        <v>6750</v>
      </c>
      <c r="H79" s="37">
        <v>4650</v>
      </c>
      <c r="I79" s="37">
        <v>4050</v>
      </c>
      <c r="K79" s="205">
        <v>7200</v>
      </c>
      <c r="L79" s="205">
        <v>6750</v>
      </c>
      <c r="N79" s="205">
        <v>6825</v>
      </c>
      <c r="O79" s="205">
        <v>6375</v>
      </c>
      <c r="Q79" s="151">
        <v>6825</v>
      </c>
      <c r="R79" s="151">
        <v>6375</v>
      </c>
    </row>
    <row r="80" spans="1:18">
      <c r="A80" s="138">
        <v>76</v>
      </c>
      <c r="B80" s="151">
        <v>5092</v>
      </c>
      <c r="C80" s="151">
        <v>5396</v>
      </c>
      <c r="E80" s="151">
        <v>5092</v>
      </c>
      <c r="F80" s="151">
        <v>5396</v>
      </c>
      <c r="H80" s="37">
        <v>6916</v>
      </c>
      <c r="I80" s="37">
        <v>9804</v>
      </c>
      <c r="K80" s="205">
        <v>5092</v>
      </c>
      <c r="L80" s="205">
        <v>5396</v>
      </c>
      <c r="N80" s="205">
        <v>4712</v>
      </c>
      <c r="O80" s="205">
        <v>5016</v>
      </c>
      <c r="Q80" s="151">
        <v>4712</v>
      </c>
      <c r="R80" s="151">
        <v>5016</v>
      </c>
    </row>
    <row r="81" spans="1:18">
      <c r="A81" s="138">
        <v>77</v>
      </c>
      <c r="B81" s="151">
        <v>4004</v>
      </c>
      <c r="C81" s="151">
        <v>5775</v>
      </c>
      <c r="E81" s="151">
        <v>4004</v>
      </c>
      <c r="F81" s="151">
        <v>5775</v>
      </c>
      <c r="H81" s="37">
        <v>6622</v>
      </c>
      <c r="I81" s="37">
        <v>5775</v>
      </c>
      <c r="K81" s="205">
        <v>4004</v>
      </c>
      <c r="L81" s="205">
        <v>5775</v>
      </c>
      <c r="N81" s="205">
        <v>3619</v>
      </c>
      <c r="O81" s="205">
        <v>5390</v>
      </c>
      <c r="Q81" s="151">
        <v>3619</v>
      </c>
      <c r="R81" s="151">
        <v>5390</v>
      </c>
    </row>
    <row r="82" spans="1:18">
      <c r="A82" s="138">
        <v>78</v>
      </c>
      <c r="B82" s="151">
        <v>3588</v>
      </c>
      <c r="C82" s="151">
        <v>7644</v>
      </c>
      <c r="E82" s="151">
        <v>3588</v>
      </c>
      <c r="F82" s="151">
        <v>7644</v>
      </c>
      <c r="H82" s="37">
        <v>2964</v>
      </c>
      <c r="I82" s="37">
        <v>9516</v>
      </c>
      <c r="K82" s="205">
        <v>3588</v>
      </c>
      <c r="L82" s="205">
        <v>7644</v>
      </c>
      <c r="N82" s="205">
        <v>3198</v>
      </c>
      <c r="O82" s="205">
        <v>7254</v>
      </c>
      <c r="Q82" s="151">
        <v>3198</v>
      </c>
      <c r="R82" s="151">
        <v>7254</v>
      </c>
    </row>
    <row r="83" spans="1:18">
      <c r="A83" s="138">
        <v>79</v>
      </c>
      <c r="B83" s="151">
        <v>9006</v>
      </c>
      <c r="C83" s="151">
        <v>3002</v>
      </c>
      <c r="E83" s="151">
        <v>9006</v>
      </c>
      <c r="F83" s="151">
        <v>3002</v>
      </c>
      <c r="H83" s="37">
        <v>7900</v>
      </c>
      <c r="I83" s="37">
        <v>4345</v>
      </c>
      <c r="K83" s="205">
        <v>9006</v>
      </c>
      <c r="L83" s="205">
        <v>3002</v>
      </c>
      <c r="N83" s="205">
        <v>8611</v>
      </c>
      <c r="O83" s="205">
        <v>2607</v>
      </c>
      <c r="Q83" s="151">
        <v>8611</v>
      </c>
      <c r="R83" s="151">
        <v>2607</v>
      </c>
    </row>
    <row r="84" spans="1:18">
      <c r="A84" s="138">
        <v>80</v>
      </c>
      <c r="B84" s="151">
        <v>8560</v>
      </c>
      <c r="C84" s="151">
        <v>3920</v>
      </c>
      <c r="E84" s="151">
        <v>8560</v>
      </c>
      <c r="F84" s="151">
        <v>3920</v>
      </c>
      <c r="H84" s="37">
        <v>3280</v>
      </c>
      <c r="I84" s="37">
        <v>10640</v>
      </c>
      <c r="K84" s="205">
        <v>8560</v>
      </c>
      <c r="L84" s="205">
        <v>3920</v>
      </c>
      <c r="N84" s="205">
        <v>8160</v>
      </c>
      <c r="O84" s="205">
        <v>3520</v>
      </c>
      <c r="Q84" s="151">
        <v>8160</v>
      </c>
      <c r="R84" s="151">
        <v>3520</v>
      </c>
    </row>
    <row r="85" spans="1:18">
      <c r="A85" s="138">
        <v>81</v>
      </c>
      <c r="B85" s="151">
        <v>3726</v>
      </c>
      <c r="C85" s="151">
        <v>8505</v>
      </c>
      <c r="E85" s="151">
        <v>3726</v>
      </c>
      <c r="F85" s="151">
        <v>8505</v>
      </c>
      <c r="H85" s="37">
        <v>8910</v>
      </c>
      <c r="I85" s="37">
        <v>4536</v>
      </c>
      <c r="K85" s="205">
        <v>3726</v>
      </c>
      <c r="L85" s="205">
        <v>8505</v>
      </c>
      <c r="N85" s="205">
        <v>3321</v>
      </c>
      <c r="O85" s="205">
        <v>8100</v>
      </c>
      <c r="Q85" s="151">
        <v>3321</v>
      </c>
      <c r="R85" s="151">
        <v>8100</v>
      </c>
    </row>
    <row r="86" spans="1:18">
      <c r="A86" s="138">
        <v>82</v>
      </c>
      <c r="B86" s="151">
        <v>7954</v>
      </c>
      <c r="C86" s="151">
        <v>7380</v>
      </c>
      <c r="E86" s="151">
        <v>7954</v>
      </c>
      <c r="F86" s="151">
        <v>7380</v>
      </c>
      <c r="H86" s="37">
        <v>10660</v>
      </c>
      <c r="I86" s="37">
        <v>9922</v>
      </c>
      <c r="K86" s="205">
        <v>7954</v>
      </c>
      <c r="L86" s="205">
        <v>7380</v>
      </c>
      <c r="N86" s="205">
        <v>7544</v>
      </c>
      <c r="O86" s="205">
        <v>6970</v>
      </c>
      <c r="Q86" s="151">
        <v>7544</v>
      </c>
      <c r="R86" s="151">
        <v>6970</v>
      </c>
    </row>
    <row r="87" spans="1:18">
      <c r="A87" s="138">
        <v>83</v>
      </c>
      <c r="B87" s="151">
        <v>3154</v>
      </c>
      <c r="C87" s="151">
        <v>9047</v>
      </c>
      <c r="E87" s="151">
        <v>3154</v>
      </c>
      <c r="F87" s="151">
        <v>9047</v>
      </c>
      <c r="H87" s="37">
        <v>8466</v>
      </c>
      <c r="I87" s="37">
        <v>7138</v>
      </c>
      <c r="K87" s="205">
        <v>3154</v>
      </c>
      <c r="L87" s="205">
        <v>9047</v>
      </c>
      <c r="N87" s="205">
        <v>2739</v>
      </c>
      <c r="O87" s="205">
        <v>8632</v>
      </c>
      <c r="Q87" s="151">
        <v>2739</v>
      </c>
      <c r="R87" s="151">
        <v>8632</v>
      </c>
    </row>
    <row r="88" spans="1:18">
      <c r="A88" s="138">
        <v>84</v>
      </c>
      <c r="B88" s="151">
        <v>9072</v>
      </c>
      <c r="C88" s="151">
        <v>6972</v>
      </c>
      <c r="E88" s="151">
        <v>9072</v>
      </c>
      <c r="F88" s="151">
        <v>6972</v>
      </c>
      <c r="H88" s="37">
        <v>9744</v>
      </c>
      <c r="I88" s="37">
        <v>3192</v>
      </c>
      <c r="K88" s="205">
        <v>9072</v>
      </c>
      <c r="L88" s="205">
        <v>6972</v>
      </c>
      <c r="N88" s="205">
        <v>8652</v>
      </c>
      <c r="O88" s="205">
        <v>6552</v>
      </c>
      <c r="Q88" s="151">
        <v>8652</v>
      </c>
      <c r="R88" s="151">
        <v>6552</v>
      </c>
    </row>
    <row r="89" spans="1:18">
      <c r="A89" s="138">
        <v>85</v>
      </c>
      <c r="B89" s="151">
        <v>7395</v>
      </c>
      <c r="C89" s="151">
        <v>5780</v>
      </c>
      <c r="E89" s="151">
        <v>7395</v>
      </c>
      <c r="F89" s="151">
        <v>5780</v>
      </c>
      <c r="H89" s="37">
        <v>4930</v>
      </c>
      <c r="I89" s="37">
        <v>10285</v>
      </c>
      <c r="K89" s="205">
        <v>7395</v>
      </c>
      <c r="L89" s="205">
        <v>5780</v>
      </c>
      <c r="N89" s="205">
        <v>6970</v>
      </c>
      <c r="O89" s="205">
        <v>5355</v>
      </c>
      <c r="Q89" s="151">
        <v>6970</v>
      </c>
      <c r="R89" s="151">
        <v>5355</v>
      </c>
    </row>
    <row r="90" spans="1:18">
      <c r="A90" s="138">
        <v>86</v>
      </c>
      <c r="B90" s="151">
        <v>3956</v>
      </c>
      <c r="C90" s="151">
        <v>4472</v>
      </c>
      <c r="E90" s="151">
        <v>3956</v>
      </c>
      <c r="F90" s="151">
        <v>4472</v>
      </c>
      <c r="H90" s="37">
        <v>4300</v>
      </c>
      <c r="I90" s="37">
        <v>6450</v>
      </c>
      <c r="K90" s="205">
        <v>3956</v>
      </c>
      <c r="L90" s="205">
        <v>4472</v>
      </c>
      <c r="N90" s="205">
        <v>3526</v>
      </c>
      <c r="O90" s="205">
        <v>4042</v>
      </c>
      <c r="Q90" s="151">
        <v>3526</v>
      </c>
      <c r="R90" s="151">
        <v>4042</v>
      </c>
    </row>
    <row r="91" spans="1:18">
      <c r="A91" s="138">
        <v>87</v>
      </c>
      <c r="B91" s="151">
        <v>8439</v>
      </c>
      <c r="C91" s="151">
        <v>6786</v>
      </c>
      <c r="E91" s="151">
        <v>8439</v>
      </c>
      <c r="F91" s="151">
        <v>6786</v>
      </c>
      <c r="H91" s="37">
        <v>6786</v>
      </c>
      <c r="I91" s="37">
        <v>4524</v>
      </c>
      <c r="K91" s="205">
        <v>8439</v>
      </c>
      <c r="L91" s="205">
        <v>6786</v>
      </c>
      <c r="N91" s="205">
        <v>8004</v>
      </c>
      <c r="O91" s="205">
        <v>6351</v>
      </c>
      <c r="Q91" s="151">
        <v>8004</v>
      </c>
      <c r="R91" s="151">
        <v>6351</v>
      </c>
    </row>
    <row r="92" spans="1:18">
      <c r="A92" s="138">
        <v>88</v>
      </c>
      <c r="B92" s="151">
        <v>7392</v>
      </c>
      <c r="C92" s="151">
        <v>5984</v>
      </c>
      <c r="E92" s="151">
        <v>7392</v>
      </c>
      <c r="F92" s="151">
        <v>5984</v>
      </c>
      <c r="H92" s="37">
        <v>5720</v>
      </c>
      <c r="I92" s="37">
        <v>10208</v>
      </c>
      <c r="K92" s="205">
        <v>7392</v>
      </c>
      <c r="L92" s="205">
        <v>5984</v>
      </c>
      <c r="N92" s="205">
        <v>6952</v>
      </c>
      <c r="O92" s="205">
        <v>5544</v>
      </c>
      <c r="Q92" s="151">
        <v>6952</v>
      </c>
      <c r="R92" s="151">
        <v>5544</v>
      </c>
    </row>
    <row r="93" spans="1:18">
      <c r="A93" s="138">
        <v>89</v>
      </c>
      <c r="B93" s="151">
        <v>5251</v>
      </c>
      <c r="C93" s="151">
        <v>3382</v>
      </c>
      <c r="E93" s="151">
        <v>5251</v>
      </c>
      <c r="F93" s="151">
        <v>3382</v>
      </c>
      <c r="H93" s="37">
        <v>10324</v>
      </c>
      <c r="I93" s="37">
        <v>7565</v>
      </c>
      <c r="K93" s="205">
        <v>5251</v>
      </c>
      <c r="L93" s="205">
        <v>3382</v>
      </c>
      <c r="N93" s="205">
        <v>4806</v>
      </c>
      <c r="O93" s="205">
        <v>2937</v>
      </c>
      <c r="Q93" s="151">
        <v>4806</v>
      </c>
      <c r="R93" s="151">
        <v>2937</v>
      </c>
    </row>
    <row r="94" spans="1:18">
      <c r="A94" s="138">
        <v>90</v>
      </c>
      <c r="B94" s="151">
        <v>5130</v>
      </c>
      <c r="C94" s="151">
        <v>6570</v>
      </c>
      <c r="E94" s="151">
        <v>5130</v>
      </c>
      <c r="F94" s="151">
        <v>6570</v>
      </c>
      <c r="H94" s="37">
        <v>5850</v>
      </c>
      <c r="I94" s="37">
        <v>5580</v>
      </c>
      <c r="K94" s="205">
        <v>5130</v>
      </c>
      <c r="L94" s="205">
        <v>6570</v>
      </c>
      <c r="N94" s="205">
        <v>4680</v>
      </c>
      <c r="O94" s="205">
        <v>6120</v>
      </c>
      <c r="Q94" s="151">
        <v>4680</v>
      </c>
      <c r="R94" s="151">
        <v>6120</v>
      </c>
    </row>
    <row r="95" spans="1:18">
      <c r="A95" s="138">
        <v>91</v>
      </c>
      <c r="B95" s="151">
        <v>11284</v>
      </c>
      <c r="C95" s="151">
        <v>6461</v>
      </c>
      <c r="E95" s="151">
        <v>11284</v>
      </c>
      <c r="F95" s="151">
        <v>6461</v>
      </c>
      <c r="H95" s="37">
        <v>5005</v>
      </c>
      <c r="I95" s="37">
        <v>6006</v>
      </c>
      <c r="K95" s="205">
        <v>11284</v>
      </c>
      <c r="L95" s="205">
        <v>6461</v>
      </c>
      <c r="N95" s="205">
        <v>10829</v>
      </c>
      <c r="O95" s="205">
        <v>6006</v>
      </c>
      <c r="Q95" s="151">
        <v>10829</v>
      </c>
      <c r="R95" s="151">
        <v>6006</v>
      </c>
    </row>
    <row r="96" spans="1:18">
      <c r="A96" s="138">
        <v>92</v>
      </c>
      <c r="B96" s="151">
        <v>5244</v>
      </c>
      <c r="C96" s="151">
        <v>8096</v>
      </c>
      <c r="E96" s="151">
        <v>5244</v>
      </c>
      <c r="F96" s="151">
        <v>8096</v>
      </c>
      <c r="H96" s="37">
        <v>10488</v>
      </c>
      <c r="I96" s="37">
        <v>3956</v>
      </c>
      <c r="K96" s="205">
        <v>5244</v>
      </c>
      <c r="L96" s="205">
        <v>8096</v>
      </c>
      <c r="N96" s="205">
        <v>4784</v>
      </c>
      <c r="O96" s="205">
        <v>7636</v>
      </c>
      <c r="Q96" s="151">
        <v>4784</v>
      </c>
      <c r="R96" s="151">
        <v>7636</v>
      </c>
    </row>
    <row r="97" spans="1:18">
      <c r="A97" s="138">
        <v>93</v>
      </c>
      <c r="B97" s="151">
        <v>5487</v>
      </c>
      <c r="C97" s="151">
        <v>10602</v>
      </c>
      <c r="E97" s="151">
        <v>5487</v>
      </c>
      <c r="F97" s="151">
        <v>10602</v>
      </c>
      <c r="H97" s="37">
        <v>4185</v>
      </c>
      <c r="I97" s="37">
        <v>9207</v>
      </c>
      <c r="K97" s="205">
        <v>5487</v>
      </c>
      <c r="L97" s="205">
        <v>10602</v>
      </c>
      <c r="N97" s="205">
        <v>5022</v>
      </c>
      <c r="O97" s="205">
        <v>10137</v>
      </c>
      <c r="Q97" s="151">
        <v>5022</v>
      </c>
      <c r="R97" s="151">
        <v>10137</v>
      </c>
    </row>
    <row r="98" spans="1:18">
      <c r="A98" s="138">
        <v>94</v>
      </c>
      <c r="B98" s="151">
        <v>8742</v>
      </c>
      <c r="C98" s="151">
        <v>11468</v>
      </c>
      <c r="E98" s="151">
        <v>8742</v>
      </c>
      <c r="F98" s="151">
        <v>11468</v>
      </c>
      <c r="H98" s="37">
        <v>6110</v>
      </c>
      <c r="I98" s="37">
        <v>8648</v>
      </c>
      <c r="K98" s="205">
        <v>8742</v>
      </c>
      <c r="L98" s="205">
        <v>11468</v>
      </c>
      <c r="N98" s="205">
        <v>8272</v>
      </c>
      <c r="O98" s="205">
        <v>10998</v>
      </c>
      <c r="Q98" s="151">
        <v>8272</v>
      </c>
      <c r="R98" s="151">
        <v>10998</v>
      </c>
    </row>
    <row r="99" spans="1:18">
      <c r="A99" s="138">
        <v>95</v>
      </c>
      <c r="B99" s="151">
        <v>4940</v>
      </c>
      <c r="C99" s="151">
        <v>10165</v>
      </c>
      <c r="E99" s="151">
        <v>4940</v>
      </c>
      <c r="F99" s="151">
        <v>10165</v>
      </c>
      <c r="H99" s="37">
        <v>11305</v>
      </c>
      <c r="I99" s="37">
        <v>3895</v>
      </c>
      <c r="K99" s="205">
        <v>4940</v>
      </c>
      <c r="L99" s="205">
        <v>10165</v>
      </c>
      <c r="N99" s="205">
        <v>4465</v>
      </c>
      <c r="O99" s="205">
        <v>9690</v>
      </c>
      <c r="Q99" s="151">
        <v>4465</v>
      </c>
      <c r="R99" s="151">
        <v>9690</v>
      </c>
    </row>
    <row r="100" spans="1:18">
      <c r="A100" s="138">
        <v>96</v>
      </c>
      <c r="B100" s="151">
        <v>4416</v>
      </c>
      <c r="C100" s="151">
        <v>12672</v>
      </c>
      <c r="E100" s="151">
        <v>4416</v>
      </c>
      <c r="F100" s="151">
        <v>12672</v>
      </c>
      <c r="H100" s="37">
        <v>4224</v>
      </c>
      <c r="I100" s="37">
        <v>9600</v>
      </c>
      <c r="K100" s="205">
        <v>4416</v>
      </c>
      <c r="L100" s="205">
        <v>12672</v>
      </c>
      <c r="N100" s="205">
        <v>3936</v>
      </c>
      <c r="O100" s="205">
        <v>12192</v>
      </c>
      <c r="Q100" s="151">
        <v>3936</v>
      </c>
      <c r="R100" s="151">
        <v>12192</v>
      </c>
    </row>
    <row r="101" spans="1:18">
      <c r="A101" s="138">
        <v>97</v>
      </c>
      <c r="B101" s="151">
        <v>11058</v>
      </c>
      <c r="C101" s="151">
        <v>3686</v>
      </c>
      <c r="E101" s="151">
        <v>11058</v>
      </c>
      <c r="F101" s="151">
        <v>3686</v>
      </c>
      <c r="H101" s="37">
        <v>11446</v>
      </c>
      <c r="I101" s="37">
        <v>11058</v>
      </c>
      <c r="K101" s="205">
        <v>11058</v>
      </c>
      <c r="L101" s="205">
        <v>3686</v>
      </c>
      <c r="N101" s="205">
        <v>10573</v>
      </c>
      <c r="O101" s="205">
        <v>3201</v>
      </c>
      <c r="Q101" s="151">
        <v>10573</v>
      </c>
      <c r="R101" s="151">
        <v>3201</v>
      </c>
    </row>
    <row r="102" spans="1:18">
      <c r="A102" s="138">
        <v>98</v>
      </c>
      <c r="B102" s="151">
        <v>10486</v>
      </c>
      <c r="C102" s="151">
        <v>6664</v>
      </c>
      <c r="E102" s="151">
        <v>10486</v>
      </c>
      <c r="F102" s="151">
        <v>6664</v>
      </c>
      <c r="H102" s="37">
        <v>8134</v>
      </c>
      <c r="I102" s="37">
        <v>6566</v>
      </c>
      <c r="K102" s="205">
        <v>10486</v>
      </c>
      <c r="L102" s="205">
        <v>6664</v>
      </c>
      <c r="N102" s="205">
        <v>9996</v>
      </c>
      <c r="O102" s="205">
        <v>6174</v>
      </c>
      <c r="Q102" s="151">
        <v>9996</v>
      </c>
      <c r="R102" s="151">
        <v>6174</v>
      </c>
    </row>
    <row r="103" spans="1:18">
      <c r="A103" s="138">
        <v>99</v>
      </c>
      <c r="B103" s="151">
        <v>6633</v>
      </c>
      <c r="C103" s="151">
        <v>5148</v>
      </c>
      <c r="E103" s="151">
        <v>6633</v>
      </c>
      <c r="F103" s="151">
        <v>5148</v>
      </c>
      <c r="H103" s="37">
        <v>5445</v>
      </c>
      <c r="I103" s="37">
        <v>7524</v>
      </c>
      <c r="K103" s="205">
        <v>6633</v>
      </c>
      <c r="L103" s="205">
        <v>5148</v>
      </c>
      <c r="N103" s="205">
        <v>6138</v>
      </c>
      <c r="O103" s="205">
        <v>4653</v>
      </c>
      <c r="Q103" s="151">
        <v>6138</v>
      </c>
      <c r="R103" s="151">
        <v>4653</v>
      </c>
    </row>
    <row r="104" spans="1:18">
      <c r="H104" s="37">
        <v>8300</v>
      </c>
      <c r="I104" s="37">
        <v>4800</v>
      </c>
    </row>
    <row r="105" spans="1:18">
      <c r="H105" s="37">
        <v>11817</v>
      </c>
      <c r="I105" s="37">
        <v>8686</v>
      </c>
    </row>
    <row r="106" spans="1:18">
      <c r="H106" s="37">
        <v>5508</v>
      </c>
      <c r="I106" s="37">
        <v>11220</v>
      </c>
    </row>
    <row r="107" spans="1:18">
      <c r="H107" s="37">
        <v>5356</v>
      </c>
      <c r="I107" s="37">
        <v>6489</v>
      </c>
    </row>
    <row r="108" spans="1:18">
      <c r="H108" s="37">
        <v>8840</v>
      </c>
      <c r="I108" s="37">
        <v>12064</v>
      </c>
    </row>
    <row r="109" spans="1:18">
      <c r="H109" s="37">
        <v>6195</v>
      </c>
      <c r="I109" s="37">
        <v>13020</v>
      </c>
    </row>
  </sheetData>
  <phoneticPr fontId="6" type="noConversion"/>
  <pageMargins left="0.7" right="0.7" top="0.75" bottom="0.75" header="0.3" footer="0.3"/>
  <pageSetup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월</vt:lpstr>
      <vt:lpstr>관리비</vt:lpstr>
      <vt:lpstr>주유</vt:lpstr>
      <vt:lpstr>정비</vt:lpstr>
      <vt:lpstr>범칙금</vt:lpstr>
      <vt:lpstr>통장정보</vt:lpstr>
      <vt:lpstr>보안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simkoo</dc:creator>
  <cp:lastModifiedBy>simkoo</cp:lastModifiedBy>
  <dcterms:created xsi:type="dcterms:W3CDTF">2020-05-10T09:15:00Z</dcterms:created>
  <dcterms:modified xsi:type="dcterms:W3CDTF">2023-08-19T23:53:40Z</dcterms:modified>
</cp:coreProperties>
</file>